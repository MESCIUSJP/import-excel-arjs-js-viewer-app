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01_blog\ActiveReportsJS\"/>
    </mc:Choice>
  </mc:AlternateContent>
  <xr:revisionPtr revIDLastSave="0" documentId="13_ncr:1_{F1B7329E-0B4D-4050-903D-CDD525FE8235}" xr6:coauthVersionLast="47" xr6:coauthVersionMax="47" xr10:uidLastSave="{00000000-0000-0000-0000-000000000000}"/>
  <bookViews>
    <workbookView xWindow="8244" yWindow="84" windowWidth="13548" windowHeight="16224" xr2:uid="{87506AE8-F554-406C-8D48-9E2690622BDF}"/>
  </bookViews>
  <sheets>
    <sheet name="売上報告書" sheetId="1" r:id="rId1"/>
    <sheet name="営業第一部" sheetId="2" r:id="rId2"/>
    <sheet name="営業第二部" sheetId="3" r:id="rId3"/>
    <sheet name="営業第三部" sheetId="4" r:id="rId4"/>
    <sheet name="法人営業部" sheetId="5" r:id="rId5"/>
    <sheet name="海外事業部" sheetId="6" r:id="rId6"/>
    <sheet name="EC事業部" sheetId="7" r:id="rId7"/>
  </sheets>
  <definedNames>
    <definedName name="_xlnm.Print_Area" localSheetId="0">売上報告書!$B$1:$U$45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1" l="1"/>
  <c r="Q12" i="1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42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N42" i="2"/>
  <c r="N18" i="1" s="1"/>
  <c r="K42" i="2"/>
  <c r="Q42" i="2" s="1"/>
  <c r="S23" i="1"/>
  <c r="I23" i="1"/>
  <c r="S22" i="1"/>
  <c r="I22" i="1"/>
  <c r="S21" i="1"/>
  <c r="N21" i="1"/>
  <c r="I21" i="1"/>
  <c r="S20" i="1"/>
  <c r="N20" i="1"/>
  <c r="I20" i="1"/>
  <c r="S19" i="1"/>
  <c r="N19" i="1"/>
  <c r="I19" i="1"/>
  <c r="F19" i="1"/>
  <c r="S18" i="1"/>
  <c r="I18" i="1"/>
  <c r="B10" i="5"/>
  <c r="J10" i="5" s="1"/>
  <c r="R10" i="5" s="1"/>
  <c r="J10" i="3"/>
  <c r="R10" i="3" s="1"/>
  <c r="B10" i="3"/>
  <c r="N42" i="7"/>
  <c r="N23" i="1" s="1"/>
  <c r="K42" i="7"/>
  <c r="Q42" i="7" s="1"/>
  <c r="N42" i="6"/>
  <c r="N22" i="1" s="1"/>
  <c r="K42" i="6"/>
  <c r="B10" i="6" s="1"/>
  <c r="J10" i="6" s="1"/>
  <c r="R10" i="6" s="1"/>
  <c r="N42" i="5"/>
  <c r="K42" i="5"/>
  <c r="N42" i="4"/>
  <c r="K42" i="4"/>
  <c r="Q42" i="4" s="1"/>
  <c r="N42" i="3"/>
  <c r="K42" i="3"/>
  <c r="Q42" i="3" s="1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42" i="6" l="1"/>
  <c r="F22" i="1"/>
  <c r="Q22" i="1" s="1"/>
  <c r="B10" i="7"/>
  <c r="F21" i="1"/>
  <c r="Q21" i="1" s="1"/>
  <c r="B10" i="4"/>
  <c r="Q19" i="1"/>
  <c r="B10" i="2"/>
  <c r="L21" i="1"/>
  <c r="U21" i="1" s="1"/>
  <c r="I29" i="1"/>
  <c r="G12" i="1" s="1"/>
  <c r="L19" i="1"/>
  <c r="U19" i="1" s="1"/>
  <c r="N29" i="1"/>
  <c r="L22" i="1" l="1"/>
  <c r="U22" i="1" s="1"/>
  <c r="J10" i="7"/>
  <c r="R10" i="7" s="1"/>
  <c r="F23" i="1"/>
  <c r="F20" i="1"/>
  <c r="J10" i="4"/>
  <c r="R10" i="4" s="1"/>
  <c r="F18" i="1"/>
  <c r="J10" i="2"/>
  <c r="R10" i="2" s="1"/>
  <c r="L23" i="1" l="1"/>
  <c r="U23" i="1" s="1"/>
  <c r="Q23" i="1"/>
  <c r="L20" i="1"/>
  <c r="U20" i="1" s="1"/>
  <c r="Q20" i="1"/>
  <c r="Q18" i="1"/>
  <c r="L18" i="1"/>
  <c r="U18" i="1" s="1"/>
  <c r="F29" i="1"/>
  <c r="B12" i="1" l="1"/>
  <c r="Q29" i="1"/>
  <c r="S29" i="1" a="1"/>
  <c r="S29" i="1" s="1"/>
  <c r="L29" i="1"/>
  <c r="U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<sst xmlns="http://schemas.openxmlformats.org/spreadsheetml/2006/main" count="401" uniqueCount="175">
  <si>
    <t>2026年7月度</t>
  </si>
  <si>
    <t>売上合計</t>
  </si>
  <si>
    <t>目標金額</t>
  </si>
  <si>
    <t>達成率</t>
  </si>
  <si>
    <t>売上金額</t>
  </si>
  <si>
    <t>2026年7月27日</t>
  </si>
  <si>
    <t>売上高</t>
  </si>
  <si>
    <t>粗利益</t>
  </si>
  <si>
    <t>粗利率</t>
  </si>
  <si>
    <t>前年比</t>
  </si>
  <si>
    <t>営業第一部</t>
  </si>
  <si>
    <t>営業第二部</t>
  </si>
  <si>
    <t>営業第三部</t>
  </si>
  <si>
    <t>法人営業部</t>
  </si>
  <si>
    <t>海外事業部</t>
  </si>
  <si>
    <t>EC事業部</t>
  </si>
  <si>
    <t>株式会社サンプル商事</t>
  </si>
  <si>
    <t>部門</t>
  </si>
  <si>
    <t>目標</t>
  </si>
  <si>
    <t>評価</t>
  </si>
  <si>
    <t>【評価基準】 ◎：達成率105%以上 / ○：100%以上 / △：95%以上 / ×：95%未満</t>
  </si>
  <si>
    <t>【 概 要 】</t>
  </si>
  <si>
    <t>【 部門別実績 】</t>
  </si>
  <si>
    <t>【 備 考 】</t>
  </si>
  <si>
    <t>作成：経営企画部</t>
  </si>
  <si>
    <t>営業第一部 売上明細</t>
  </si>
  <si>
    <t>【 部門実績 】</t>
  </si>
  <si>
    <t>【 売上明細 】</t>
  </si>
  <si>
    <t>日付</t>
  </si>
  <si>
    <t>顧客名</t>
  </si>
  <si>
    <t>案件名</t>
  </si>
  <si>
    <t>担当者</t>
  </si>
  <si>
    <t>ABC商事株式会社</t>
  </si>
  <si>
    <t>システム導入</t>
  </si>
  <si>
    <t>山田太郎</t>
  </si>
  <si>
    <t>DEF工業株式会社</t>
  </si>
  <si>
    <t>保守契約更新</t>
  </si>
  <si>
    <t>佐藤花子</t>
  </si>
  <si>
    <t>GHI電機株式会社</t>
  </si>
  <si>
    <t>機器販売</t>
  </si>
  <si>
    <t>JKL物産株式会社</t>
  </si>
  <si>
    <t>コンサル</t>
  </si>
  <si>
    <t>鈴木一郎</t>
  </si>
  <si>
    <t>MNO建設株式会社</t>
  </si>
  <si>
    <t>追加開発</t>
  </si>
  <si>
    <t>営業第二部 売上明細</t>
  </si>
  <si>
    <t>営業第三部 売上明細</t>
  </si>
  <si>
    <t>PQR商事株式会社</t>
  </si>
  <si>
    <t>田中健一</t>
  </si>
  <si>
    <t>STU工業株式会社</t>
  </si>
  <si>
    <t>保守契約</t>
  </si>
  <si>
    <t>高橋美咲</t>
  </si>
  <si>
    <t>VWX電機株式会社</t>
  </si>
  <si>
    <t>システム</t>
  </si>
  <si>
    <t>YZA物産株式会社</t>
  </si>
  <si>
    <t>渡辺誠</t>
  </si>
  <si>
    <t>BCD建設株式会社</t>
  </si>
  <si>
    <t>EFG商事株式会社</t>
  </si>
  <si>
    <t>大型案件</t>
  </si>
  <si>
    <t>木村大輔</t>
  </si>
  <si>
    <t>HIJ工業株式会社</t>
  </si>
  <si>
    <t>中村真理</t>
  </si>
  <si>
    <t>KLM電機株式会社</t>
  </si>
  <si>
    <t>NOP物産株式会社</t>
  </si>
  <si>
    <t>伊藤裕子</t>
  </si>
  <si>
    <t>QRS建設株式会社</t>
  </si>
  <si>
    <t>法人営業部 売上明細</t>
  </si>
  <si>
    <t>大手製造A社</t>
  </si>
  <si>
    <t>基幹システム</t>
  </si>
  <si>
    <t>吉田正明</t>
  </si>
  <si>
    <t>大手金融B社</t>
  </si>
  <si>
    <t>セキュリティ</t>
  </si>
  <si>
    <t>小林秀樹</t>
  </si>
  <si>
    <t>大手流通C社</t>
  </si>
  <si>
    <t>クラウド移行</t>
  </si>
  <si>
    <t>大手通信D社</t>
  </si>
  <si>
    <t>松本愛子</t>
  </si>
  <si>
    <t>大手商社E社</t>
  </si>
  <si>
    <t>米国Alpha Corp</t>
  </si>
  <si>
    <t>現地販売</t>
  </si>
  <si>
    <t>加藤健太</t>
  </si>
  <si>
    <t>欧州Beta GmbH</t>
  </si>
  <si>
    <t>技術支援</t>
  </si>
  <si>
    <t>斎藤由美</t>
  </si>
  <si>
    <t>中国Gamma社</t>
  </si>
  <si>
    <t>機器輸出</t>
  </si>
  <si>
    <t>韓国Delta Co.</t>
  </si>
  <si>
    <t>台湾Epsilon Ltd</t>
  </si>
  <si>
    <t>楽天市場</t>
  </si>
  <si>
    <t>月間売上</t>
  </si>
  <si>
    <t>森田拓也</t>
  </si>
  <si>
    <t>Amazon</t>
  </si>
  <si>
    <t>Yahoo!ショッピング</t>
  </si>
  <si>
    <t>岡田麻衣</t>
  </si>
  <si>
    <t>自社ECサイト</t>
  </si>
  <si>
    <t>その他モール</t>
  </si>
  <si>
    <t>STU電子株式会社</t>
  </si>
  <si>
    <t>VWX物流株式会社</t>
  </si>
  <si>
    <t>システム開発</t>
  </si>
  <si>
    <t>YZA化学株式会社</t>
  </si>
  <si>
    <t>BCD食品株式会社</t>
  </si>
  <si>
    <t>EFG製薬株式会社</t>
  </si>
  <si>
    <t>HIJ機械株式会社</t>
  </si>
  <si>
    <t>KLM建材株式会社</t>
  </si>
  <si>
    <t>NOP運輸株式会社</t>
  </si>
  <si>
    <t>QRS金属株式会社</t>
  </si>
  <si>
    <t>HIJ電子株式会社</t>
  </si>
  <si>
    <t>KLM物流株式会社</t>
  </si>
  <si>
    <t>NOP化学株式会社</t>
  </si>
  <si>
    <t>QRS食品株式会社</t>
  </si>
  <si>
    <t>TUV製薬株式会社</t>
  </si>
  <si>
    <t>WXY機械株式会社</t>
  </si>
  <si>
    <t>ZAB建材株式会社</t>
  </si>
  <si>
    <t>CDE運輸株式会社</t>
  </si>
  <si>
    <t>FGH金属株式会社</t>
  </si>
  <si>
    <t>TUV商事株式会社</t>
  </si>
  <si>
    <t>WXY電子株式会社</t>
  </si>
  <si>
    <t>ZAB物流株式会社</t>
  </si>
  <si>
    <t>CDE化学株式会社</t>
  </si>
  <si>
    <t>FGH食品株式会社</t>
  </si>
  <si>
    <t>IJK製薬株式会社</t>
  </si>
  <si>
    <t>LMN機械株式会社</t>
  </si>
  <si>
    <t>OPQ建材株式会社</t>
  </si>
  <si>
    <t>RST運輸株式会社</t>
  </si>
  <si>
    <t>UVW金属株式会社</t>
  </si>
  <si>
    <t>大手製造F社</t>
  </si>
  <si>
    <t>大手金融G社</t>
  </si>
  <si>
    <t>大手流通H社</t>
  </si>
  <si>
    <t>大手通信I社</t>
  </si>
  <si>
    <t>大手商社J社</t>
  </si>
  <si>
    <t>大手製造K社</t>
  </si>
  <si>
    <t>大手金融L社</t>
  </si>
  <si>
    <t>データ分析</t>
  </si>
  <si>
    <t>大手流通M社</t>
  </si>
  <si>
    <t>EC構築</t>
  </si>
  <si>
    <t>大手通信N社</t>
  </si>
  <si>
    <t>ネットワーク</t>
  </si>
  <si>
    <t>大手商社O社</t>
  </si>
  <si>
    <t>DX推進</t>
  </si>
  <si>
    <t>米国現地法人A</t>
  </si>
  <si>
    <t>山本太一</t>
  </si>
  <si>
    <t>欧州販売代理店B</t>
  </si>
  <si>
    <t>加藤明美</t>
  </si>
  <si>
    <t>アジア現地法人C</t>
  </si>
  <si>
    <t>佐々木健</t>
  </si>
  <si>
    <t>中国販売代理店D</t>
  </si>
  <si>
    <t>韓国現地法人E</t>
  </si>
  <si>
    <t>東南アジア支社F</t>
  </si>
  <si>
    <t>インド販売代理店G</t>
  </si>
  <si>
    <t>中東現地法人H</t>
  </si>
  <si>
    <t>オセアニア支社I</t>
  </si>
  <si>
    <t>南米販売代理店J</t>
  </si>
  <si>
    <t>ECモールA出店</t>
  </si>
  <si>
    <t>広告運用</t>
  </si>
  <si>
    <t>井上真司</t>
  </si>
  <si>
    <t>自社ECサイトB</t>
  </si>
  <si>
    <t>システム改修</t>
  </si>
  <si>
    <t>藤田優子</t>
  </si>
  <si>
    <t>ECモールC出店</t>
  </si>
  <si>
    <t>商品登録</t>
  </si>
  <si>
    <t>斎藤隆</t>
  </si>
  <si>
    <t>自社ECサイトD</t>
  </si>
  <si>
    <t>プロモ</t>
  </si>
  <si>
    <t>ECモールE出店</t>
  </si>
  <si>
    <t>越境ECサイトF</t>
  </si>
  <si>
    <t>多言語対応</t>
  </si>
  <si>
    <t>ECモールG出店</t>
  </si>
  <si>
    <t>自社ECサイトH</t>
  </si>
  <si>
    <t>ECモールI出店</t>
  </si>
  <si>
    <t>越境ECサイトJ</t>
  </si>
  <si>
    <t>合　計</t>
  </si>
  <si>
    <t>・全社売上高は123,640,000円、目標120,110,000円に対し達成率102.9%と目標を達成
・法人営業部が36,500,000円（全社比29.5%）と最大の貢献。達成率104.2%、前年比112.0%と好調
・EC事業部は達成率108.0%・前年比125.0%と全部門で最も高い伸長。粗利率35.0%も全社最高
・海外事業部は為替影響により達成率94.5%・前年比92.0%と唯一の未達。下期の挽回に注力
・営業第二部は達成率99.0%と僅かに未達。粗利率28.0%の改善が課題</t>
  </si>
  <si>
    <t>海外事業部 売上明細</t>
    <phoneticPr fontId="3"/>
  </si>
  <si>
    <t>EC事業部 売上明細</t>
    <phoneticPr fontId="3"/>
  </si>
  <si>
    <t>売 上 報 告 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</si>
</sst>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"/>
    <numFmt numFmtId="177" formatCode="0.0%"/>
  </numFmts>
  <fonts count="2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1F4E79"/>
      <name val="游ゴシック"/>
      <family val="2"/>
      <charset val="128"/>
      <scheme val="minor"/>
    </font>
    <font>
      <sz val="10"/>
      <color rgb="FF666666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26"/>
      <color rgb="FF1F4E79"/>
      <name val="游ゴシック"/>
      <family val="2"/>
      <charset val="128"/>
      <scheme val="minor"/>
    </font>
    <font>
      <sz val="14"/>
      <color rgb="FF666666"/>
      <name val="游ゴシック"/>
      <family val="2"/>
      <charset val="128"/>
      <scheme val="minor"/>
    </font>
    <font>
      <b/>
      <sz val="22"/>
      <color rgb="FF1F4E79"/>
      <name val="游ゴシック"/>
      <family val="2"/>
      <charset val="128"/>
      <scheme val="minor"/>
    </font>
    <font>
      <sz val="12"/>
      <color rgb="FF66666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4"/>
      <color rgb="FF1F4E79"/>
      <name val="Meiryo UI"/>
      <family val="3"/>
      <charset val="128"/>
    </font>
    <font>
      <b/>
      <sz val="16"/>
      <color rgb="FF1F4E79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333333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5A8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EF3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/>
      <right/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/>
      <top/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/>
      <bottom style="thin">
        <color rgb="FFD6DCE4"/>
      </bottom>
      <diagonal/>
    </border>
    <border>
      <left/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/>
      <top/>
      <bottom/>
      <diagonal/>
    </border>
    <border>
      <left/>
      <right style="thin">
        <color rgb="FFD6DCE4"/>
      </right>
      <top/>
      <bottom/>
      <diagonal/>
    </border>
    <border>
      <left/>
      <right style="thin">
        <color rgb="FFD6DCE4"/>
      </right>
      <top style="thin">
        <color rgb="FFD6DCE4"/>
      </top>
      <bottom style="thin">
        <color rgb="FFD6DCE4"/>
      </bottom>
      <diagonal/>
    </border>
    <border>
      <left/>
      <right/>
      <top style="thin">
        <color rgb="FFD6DCE4"/>
      </top>
      <bottom style="thin">
        <color rgb="FFD6DCE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177" fontId="17" fillId="0" borderId="2" xfId="0" applyNumberFormat="1" applyFont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top" wrapText="1"/>
    </xf>
    <xf numFmtId="0" fontId="17" fillId="6" borderId="3" xfId="0" applyFont="1" applyFill="1" applyBorder="1" applyAlignment="1">
      <alignment horizontal="left" vertical="top" wrapText="1"/>
    </xf>
    <xf numFmtId="0" fontId="17" fillId="6" borderId="5" xfId="0" applyFont="1" applyFill="1" applyBorder="1" applyAlignment="1">
      <alignment horizontal="left" vertical="top" wrapText="1"/>
    </xf>
    <xf numFmtId="0" fontId="17" fillId="6" borderId="10" xfId="0" applyFont="1" applyFill="1" applyBorder="1" applyAlignment="1">
      <alignment horizontal="left" vertical="top" wrapText="1"/>
    </xf>
    <xf numFmtId="0" fontId="17" fillId="6" borderId="0" xfId="0" applyFont="1" applyFill="1" applyAlignment="1">
      <alignment horizontal="left" vertical="top" wrapText="1"/>
    </xf>
    <xf numFmtId="0" fontId="17" fillId="6" borderId="11" xfId="0" applyFont="1" applyFill="1" applyBorder="1" applyAlignment="1">
      <alignment horizontal="left" vertical="top" wrapText="1"/>
    </xf>
    <xf numFmtId="0" fontId="17" fillId="6" borderId="8" xfId="0" applyFont="1" applyFill="1" applyBorder="1" applyAlignment="1">
      <alignment horizontal="left" vertical="top" wrapText="1"/>
    </xf>
    <xf numFmtId="0" fontId="17" fillId="6" borderId="6" xfId="0" applyFont="1" applyFill="1" applyBorder="1" applyAlignment="1">
      <alignment horizontal="left" vertical="top" wrapText="1"/>
    </xf>
    <xf numFmtId="0" fontId="17" fillId="6" borderId="9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3" fontId="17" fillId="0" borderId="2" xfId="0" applyNumberFormat="1" applyFont="1" applyBorder="1" applyAlignment="1">
      <alignment horizontal="right" vertical="center"/>
    </xf>
    <xf numFmtId="0" fontId="17" fillId="6" borderId="2" xfId="0" applyFont="1" applyFill="1" applyBorder="1" applyAlignment="1">
      <alignment horizontal="left" vertical="center"/>
    </xf>
    <xf numFmtId="3" fontId="17" fillId="6" borderId="2" xfId="0" applyNumberFormat="1" applyFont="1" applyFill="1" applyBorder="1" applyAlignment="1">
      <alignment horizontal="right" vertical="center"/>
    </xf>
    <xf numFmtId="177" fontId="17" fillId="6" borderId="2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2" borderId="2" xfId="0" applyFont="1" applyFill="1" applyBorder="1" applyAlignment="1">
      <alignment horizontal="left" vertical="center"/>
    </xf>
    <xf numFmtId="3" fontId="10" fillId="2" borderId="2" xfId="0" applyNumberFormat="1" applyFont="1" applyFill="1" applyBorder="1" applyAlignment="1">
      <alignment horizontal="right" vertical="center"/>
    </xf>
    <xf numFmtId="177" fontId="10" fillId="2" borderId="2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/>
    </xf>
    <xf numFmtId="3" fontId="17" fillId="5" borderId="2" xfId="0" applyNumberFormat="1" applyFont="1" applyFill="1" applyBorder="1" applyAlignment="1">
      <alignment horizontal="right" vertical="center"/>
    </xf>
    <xf numFmtId="177" fontId="17" fillId="5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9" fillId="3" borderId="2" xfId="0" applyFont="1" applyFill="1" applyBorder="1">
      <alignment vertical="center"/>
    </xf>
    <xf numFmtId="0" fontId="4" fillId="0" borderId="0" xfId="0" applyFont="1">
      <alignment vertical="center"/>
    </xf>
    <xf numFmtId="0" fontId="22" fillId="0" borderId="0" xfId="0" applyFont="1">
      <alignment vertical="center"/>
    </xf>
    <xf numFmtId="0" fontId="0" fillId="0" borderId="3" xfId="0" applyBorder="1">
      <alignment vertical="center"/>
    </xf>
    <xf numFmtId="0" fontId="10" fillId="3" borderId="7" xfId="0" applyFont="1" applyFill="1" applyBorder="1" applyAlignment="1">
      <alignment horizontal="center" vertical="center"/>
    </xf>
    <xf numFmtId="176" fontId="21" fillId="7" borderId="12" xfId="0" applyNumberFormat="1" applyFont="1" applyFill="1" applyBorder="1" applyAlignment="1">
      <alignment horizontal="center" vertical="center"/>
    </xf>
    <xf numFmtId="176" fontId="21" fillId="7" borderId="2" xfId="0" applyNumberFormat="1" applyFont="1" applyFill="1" applyBorder="1" applyAlignment="1">
      <alignment horizontal="center" vertical="center"/>
    </xf>
    <xf numFmtId="177" fontId="21" fillId="7" borderId="2" xfId="0" applyNumberFormat="1" applyFont="1" applyFill="1" applyBorder="1" applyAlignment="1">
      <alignment horizontal="center" vertical="center"/>
    </xf>
    <xf numFmtId="177" fontId="21" fillId="7" borderId="7" xfId="0" applyNumberFormat="1" applyFont="1" applyFill="1" applyBorder="1" applyAlignment="1">
      <alignment horizontal="center" vertical="center"/>
    </xf>
    <xf numFmtId="56" fontId="18" fillId="5" borderId="7" xfId="0" applyNumberFormat="1" applyFont="1" applyFill="1" applyBorder="1" applyAlignment="1">
      <alignment horizontal="center" vertical="center"/>
    </xf>
    <xf numFmtId="56" fontId="18" fillId="5" borderId="12" xfId="0" applyNumberFormat="1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left" vertical="center"/>
    </xf>
    <xf numFmtId="0" fontId="18" fillId="5" borderId="12" xfId="0" applyFont="1" applyFill="1" applyBorder="1" applyAlignment="1">
      <alignment horizontal="left" vertical="center"/>
    </xf>
    <xf numFmtId="3" fontId="18" fillId="5" borderId="7" xfId="0" applyNumberFormat="1" applyFont="1" applyFill="1" applyBorder="1" applyAlignment="1">
      <alignment horizontal="right" vertical="center"/>
    </xf>
    <xf numFmtId="3" fontId="18" fillId="5" borderId="13" xfId="0" applyNumberFormat="1" applyFont="1" applyFill="1" applyBorder="1" applyAlignment="1">
      <alignment horizontal="right" vertical="center"/>
    </xf>
    <xf numFmtId="3" fontId="18" fillId="5" borderId="12" xfId="0" applyNumberFormat="1" applyFont="1" applyFill="1" applyBorder="1" applyAlignment="1">
      <alignment horizontal="right" vertical="center"/>
    </xf>
    <xf numFmtId="177" fontId="18" fillId="5" borderId="7" xfId="0" applyNumberFormat="1" applyFont="1" applyFill="1" applyBorder="1" applyAlignment="1">
      <alignment horizontal="center" vertical="center"/>
    </xf>
    <xf numFmtId="177" fontId="18" fillId="5" borderId="12" xfId="0" applyNumberFormat="1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56" fontId="18" fillId="6" borderId="7" xfId="0" applyNumberFormat="1" applyFont="1" applyFill="1" applyBorder="1" applyAlignment="1">
      <alignment horizontal="center" vertical="center"/>
    </xf>
    <xf numFmtId="56" fontId="18" fillId="6" borderId="12" xfId="0" applyNumberFormat="1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left" vertical="center"/>
    </xf>
    <xf numFmtId="0" fontId="18" fillId="6" borderId="13" xfId="0" applyFont="1" applyFill="1" applyBorder="1" applyAlignment="1">
      <alignment horizontal="left" vertical="center"/>
    </xf>
    <xf numFmtId="0" fontId="18" fillId="6" borderId="12" xfId="0" applyFont="1" applyFill="1" applyBorder="1" applyAlignment="1">
      <alignment horizontal="left" vertical="center"/>
    </xf>
    <xf numFmtId="3" fontId="18" fillId="6" borderId="7" xfId="0" applyNumberFormat="1" applyFont="1" applyFill="1" applyBorder="1" applyAlignment="1">
      <alignment horizontal="right" vertical="center"/>
    </xf>
    <xf numFmtId="3" fontId="18" fillId="6" borderId="13" xfId="0" applyNumberFormat="1" applyFont="1" applyFill="1" applyBorder="1" applyAlignment="1">
      <alignment horizontal="right" vertical="center"/>
    </xf>
    <xf numFmtId="3" fontId="18" fillId="6" borderId="12" xfId="0" applyNumberFormat="1" applyFont="1" applyFill="1" applyBorder="1" applyAlignment="1">
      <alignment horizontal="right" vertical="center"/>
    </xf>
    <xf numFmtId="177" fontId="18" fillId="6" borderId="7" xfId="0" applyNumberFormat="1" applyFont="1" applyFill="1" applyBorder="1" applyAlignment="1">
      <alignment horizontal="center" vertical="center"/>
    </xf>
    <xf numFmtId="177" fontId="18" fillId="6" borderId="12" xfId="0" applyNumberFormat="1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177" fontId="18" fillId="6" borderId="2" xfId="0" applyNumberFormat="1" applyFont="1" applyFill="1" applyBorder="1" applyAlignment="1">
      <alignment horizontal="center" vertical="center"/>
    </xf>
    <xf numFmtId="177" fontId="18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right" vertical="center"/>
    </xf>
    <xf numFmtId="3" fontId="18" fillId="6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56" fontId="18" fillId="6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left" vertical="center"/>
    </xf>
    <xf numFmtId="56" fontId="18" fillId="5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20" fillId="4" borderId="2" xfId="0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176" fontId="20" fillId="4" borderId="2" xfId="0" applyNumberFormat="1" applyFont="1" applyFill="1" applyBorder="1" applyAlignment="1">
      <alignment horizontal="center" vertical="center"/>
    </xf>
    <xf numFmtId="56" fontId="10" fillId="2" borderId="2" xfId="0" applyNumberFormat="1" applyFont="1" applyFill="1" applyBorder="1" applyAlignment="1">
      <alignment horizontal="center" vertical="center"/>
    </xf>
    <xf numFmtId="177" fontId="23" fillId="6" borderId="2" xfId="0" applyNumberFormat="1" applyFont="1" applyFill="1" applyBorder="1" applyAlignment="1">
      <alignment horizontal="right" vertical="center"/>
    </xf>
    <xf numFmtId="0" fontId="23" fillId="6" borderId="2" xfId="0" applyFont="1" applyFill="1" applyBorder="1" applyAlignment="1">
      <alignment horizontal="center" vertical="center"/>
    </xf>
    <xf numFmtId="3" fontId="23" fillId="5" borderId="2" xfId="0" applyNumberFormat="1" applyFont="1" applyFill="1" applyBorder="1" applyAlignment="1">
      <alignment horizontal="right" vertical="center"/>
    </xf>
    <xf numFmtId="177" fontId="23" fillId="5" borderId="2" xfId="0" applyNumberFormat="1" applyFont="1" applyFill="1" applyBorder="1" applyAlignment="1">
      <alignment horizontal="right" vertical="center"/>
    </xf>
    <xf numFmtId="0" fontId="23" fillId="5" borderId="2" xfId="0" applyFont="1" applyFill="1" applyBorder="1" applyAlignment="1">
      <alignment horizontal="center" vertical="center"/>
    </xf>
    <xf numFmtId="3" fontId="19" fillId="2" borderId="2" xfId="0" applyNumberFormat="1" applyFont="1" applyFill="1" applyBorder="1" applyAlignment="1">
      <alignment horizontal="right" vertical="center"/>
    </xf>
    <xf numFmtId="177" fontId="19" fillId="2" borderId="2" xfId="0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/>
    </xf>
    <xf numFmtId="3" fontId="23" fillId="6" borderId="2" xfId="0" applyNumberFormat="1" applyFont="1" applyFill="1" applyBorder="1" applyAlignment="1">
      <alignment horizontal="right" vertical="center"/>
    </xf>
    <xf numFmtId="0" fontId="19" fillId="3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F128-0BC7-4D2D-BE36-7A8A8DD49C55}">
  <sheetPr>
    <pageSetUpPr fitToPage="1"/>
  </sheetPr>
  <dimension ref="A1:V56"/>
  <sheetViews>
    <sheetView tabSelected="1" view="pageBreakPreview" zoomScale="75" zoomScaleNormal="100" zoomScaleSheetLayoutView="75" workbookViewId="0">
      <selection activeCell="B2" sqref="B2:U3"/>
    </sheetView>
  </sheetViews>
  <sheetFormatPr defaultRowHeight="18" x14ac:dyDescent="0.45"/>
  <cols>
    <col min="1" max="1" width="1" customWidth="1"/>
    <col min="2" max="22" width="4.5" customWidth="1"/>
  </cols>
  <sheetData>
    <row r="1" spans="1:22" ht="6" customHeight="1" x14ac:dyDescent="0.45">
      <c r="A1" s="3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2" ht="24" customHeight="1" x14ac:dyDescent="0.45">
      <c r="A2" s="3"/>
      <c r="B2" s="34" t="s">
        <v>174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2" ht="24" customHeight="1" x14ac:dyDescent="0.45">
      <c r="A3" s="3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2" ht="22.05" customHeight="1" x14ac:dyDescent="0.45">
      <c r="A4" s="3"/>
      <c r="B4" s="28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1:22" ht="12" customHeight="1" x14ac:dyDescent="0.45">
      <c r="A5" s="3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spans="1:22" ht="7.95" customHeight="1" x14ac:dyDescent="0.45">
      <c r="A6" s="3"/>
    </row>
    <row r="7" spans="1:22" ht="19.95" customHeight="1" x14ac:dyDescent="0.45">
      <c r="A7" s="3"/>
      <c r="B7" s="31" t="s">
        <v>16</v>
      </c>
      <c r="C7" s="29"/>
      <c r="D7" s="29"/>
      <c r="E7" s="29"/>
      <c r="F7" s="29"/>
      <c r="G7" s="29"/>
      <c r="I7" s="32" t="s">
        <v>24</v>
      </c>
      <c r="J7" s="29"/>
      <c r="K7" s="29"/>
      <c r="L7" s="29"/>
      <c r="M7" s="29"/>
      <c r="O7" s="33" t="s">
        <v>5</v>
      </c>
      <c r="P7" s="29"/>
      <c r="Q7" s="29"/>
      <c r="R7" s="29"/>
      <c r="S7" s="29"/>
      <c r="T7" s="29"/>
      <c r="U7" s="29"/>
    </row>
    <row r="8" spans="1:22" ht="4.05" customHeight="1" x14ac:dyDescent="0.45">
      <c r="A8" s="3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2" ht="22.05" customHeight="1" x14ac:dyDescent="0.45">
      <c r="A9" s="3"/>
    </row>
    <row r="10" spans="1:22" ht="22.05" customHeight="1" x14ac:dyDescent="0.45">
      <c r="A10" s="3"/>
      <c r="B10" s="35" t="s">
        <v>21</v>
      </c>
      <c r="C10" s="29"/>
      <c r="D10" s="2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9.95" customHeight="1" x14ac:dyDescent="0.45">
      <c r="A11" s="3"/>
      <c r="B11" s="45" t="s">
        <v>1</v>
      </c>
      <c r="C11" s="46"/>
      <c r="D11" s="46"/>
      <c r="E11" s="46"/>
      <c r="F11" s="46"/>
      <c r="G11" s="44" t="s">
        <v>2</v>
      </c>
      <c r="H11" s="46"/>
      <c r="I11" s="46"/>
      <c r="J11" s="46"/>
      <c r="K11" s="46"/>
      <c r="L11" s="44" t="s">
        <v>3</v>
      </c>
      <c r="M11" s="46"/>
      <c r="N11" s="46"/>
      <c r="O11" s="46"/>
      <c r="P11" s="46"/>
      <c r="Q11" s="44" t="s">
        <v>9</v>
      </c>
      <c r="R11" s="44"/>
      <c r="S11" s="44"/>
      <c r="T11" s="44"/>
      <c r="U11" s="50"/>
      <c r="V11" s="3"/>
    </row>
    <row r="12" spans="1:22" ht="24" customHeight="1" x14ac:dyDescent="0.45">
      <c r="A12" s="3"/>
      <c r="B12" s="51">
        <f>F29</f>
        <v>123640000</v>
      </c>
      <c r="C12" s="52"/>
      <c r="D12" s="52"/>
      <c r="E12" s="52"/>
      <c r="F12" s="52"/>
      <c r="G12" s="52">
        <f>I29</f>
        <v>120110000</v>
      </c>
      <c r="H12" s="52"/>
      <c r="I12" s="52"/>
      <c r="J12" s="52"/>
      <c r="K12" s="52"/>
      <c r="L12" s="53">
        <f>IF(G12=0,"",B12/G12)</f>
        <v>1.0293897260844227</v>
      </c>
      <c r="M12" s="53"/>
      <c r="N12" s="53"/>
      <c r="O12" s="53"/>
      <c r="P12" s="53"/>
      <c r="Q12" s="53">
        <f>S29</f>
        <v>1.0639126676853174</v>
      </c>
      <c r="R12" s="53"/>
      <c r="S12" s="53"/>
      <c r="T12" s="53"/>
      <c r="U12" s="54"/>
      <c r="V12" s="3"/>
    </row>
    <row r="13" spans="1:22" ht="24" customHeight="1" x14ac:dyDescent="0.45">
      <c r="A13" s="3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3"/>
      <c r="M13" s="53"/>
      <c r="N13" s="53"/>
      <c r="O13" s="53"/>
      <c r="P13" s="53"/>
      <c r="Q13" s="53"/>
      <c r="R13" s="53"/>
      <c r="S13" s="53"/>
      <c r="T13" s="53"/>
      <c r="U13" s="54"/>
      <c r="V13" s="3"/>
    </row>
    <row r="14" spans="1:22" ht="7.95" customHeight="1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9.95" customHeight="1" x14ac:dyDescent="0.45">
      <c r="A15" s="3"/>
      <c r="B15" s="36" t="s">
        <v>22</v>
      </c>
      <c r="C15" s="37"/>
      <c r="D15" s="37"/>
      <c r="E15" s="37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3"/>
    </row>
    <row r="16" spans="1:22" ht="6" customHeigh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2.05" customHeight="1" x14ac:dyDescent="0.45">
      <c r="A17" s="3"/>
      <c r="B17" s="44" t="s">
        <v>17</v>
      </c>
      <c r="C17" s="44"/>
      <c r="D17" s="44"/>
      <c r="E17" s="44"/>
      <c r="F17" s="44" t="s">
        <v>6</v>
      </c>
      <c r="G17" s="44"/>
      <c r="H17" s="44"/>
      <c r="I17" s="44" t="s">
        <v>18</v>
      </c>
      <c r="J17" s="44"/>
      <c r="K17" s="44"/>
      <c r="L17" s="44" t="s">
        <v>3</v>
      </c>
      <c r="M17" s="44"/>
      <c r="N17" s="44" t="s">
        <v>7</v>
      </c>
      <c r="O17" s="44"/>
      <c r="P17" s="44"/>
      <c r="Q17" s="44" t="s">
        <v>8</v>
      </c>
      <c r="R17" s="44"/>
      <c r="S17" s="44" t="s">
        <v>9</v>
      </c>
      <c r="T17" s="44"/>
      <c r="U17" s="7" t="s">
        <v>19</v>
      </c>
      <c r="V17" s="3"/>
    </row>
    <row r="18" spans="1:22" ht="19.95" customHeight="1" x14ac:dyDescent="0.45">
      <c r="A18" s="3"/>
      <c r="B18" s="41" t="s">
        <v>10</v>
      </c>
      <c r="C18" s="41"/>
      <c r="D18" s="41"/>
      <c r="E18" s="41"/>
      <c r="F18" s="42">
        <f>営業第一部!B10</f>
        <v>22270000</v>
      </c>
      <c r="G18" s="42"/>
      <c r="H18" s="42"/>
      <c r="I18" s="42">
        <f>営業第一部!F10</f>
        <v>20750000</v>
      </c>
      <c r="J18" s="42"/>
      <c r="K18" s="42"/>
      <c r="L18" s="43">
        <f t="shared" ref="L18:L23" si="0">IF(I18=0,"",F18/I18)</f>
        <v>1.0732530120481927</v>
      </c>
      <c r="M18" s="43"/>
      <c r="N18" s="42">
        <f>営業第一部!N42</f>
        <v>6681000</v>
      </c>
      <c r="O18" s="42"/>
      <c r="P18" s="42"/>
      <c r="Q18" s="43">
        <f t="shared" ref="Q18:Q23" si="1">IF(F18=0,"",N18/F18)</f>
        <v>0.3</v>
      </c>
      <c r="R18" s="43"/>
      <c r="S18" s="43">
        <f>営業第一部!N10</f>
        <v>1.05</v>
      </c>
      <c r="T18" s="43"/>
      <c r="U18" s="8" t="str">
        <f t="shared" ref="U18:U23" si="2">IF(L18="","",IF(L18&gt;=1.05,"◎",IF(L18&gt;=1,"○",IF(L18&gt;=0.95,"△","×"))))</f>
        <v>◎</v>
      </c>
      <c r="V18" s="3"/>
    </row>
    <row r="19" spans="1:22" ht="19.95" customHeight="1" x14ac:dyDescent="0.45">
      <c r="A19" s="3"/>
      <c r="B19" s="24" t="s">
        <v>11</v>
      </c>
      <c r="C19" s="24"/>
      <c r="D19" s="24"/>
      <c r="E19" s="24"/>
      <c r="F19" s="25">
        <f>営業第二部!B10</f>
        <v>19960000</v>
      </c>
      <c r="G19" s="25"/>
      <c r="H19" s="25"/>
      <c r="I19" s="25">
        <f>営業第二部!F10</f>
        <v>20160000</v>
      </c>
      <c r="J19" s="25"/>
      <c r="K19" s="25"/>
      <c r="L19" s="26">
        <f t="shared" si="0"/>
        <v>0.99007936507936511</v>
      </c>
      <c r="M19" s="26"/>
      <c r="N19" s="25">
        <f>営業第二部!N42</f>
        <v>5589400</v>
      </c>
      <c r="O19" s="25"/>
      <c r="P19" s="25"/>
      <c r="Q19" s="26">
        <f t="shared" si="1"/>
        <v>0.28003006012024045</v>
      </c>
      <c r="R19" s="26"/>
      <c r="S19" s="26">
        <f>営業第二部!N10</f>
        <v>0.98</v>
      </c>
      <c r="T19" s="26"/>
      <c r="U19" s="9" t="str">
        <f t="shared" si="2"/>
        <v>△</v>
      </c>
      <c r="V19" s="3"/>
    </row>
    <row r="20" spans="1:22" ht="19.95" customHeight="1" x14ac:dyDescent="0.45">
      <c r="A20" s="3"/>
      <c r="B20" s="41" t="s">
        <v>12</v>
      </c>
      <c r="C20" s="41"/>
      <c r="D20" s="41"/>
      <c r="E20" s="41"/>
      <c r="F20" s="42">
        <f>営業第三部!B10</f>
        <v>21880000</v>
      </c>
      <c r="G20" s="42"/>
      <c r="H20" s="42"/>
      <c r="I20" s="42">
        <f>営業第三部!F10</f>
        <v>21300000</v>
      </c>
      <c r="J20" s="42"/>
      <c r="K20" s="42"/>
      <c r="L20" s="43">
        <f t="shared" si="0"/>
        <v>1.0272300469483568</v>
      </c>
      <c r="M20" s="43"/>
      <c r="N20" s="42">
        <f>営業第三部!N42</f>
        <v>6564000</v>
      </c>
      <c r="O20" s="42"/>
      <c r="P20" s="42"/>
      <c r="Q20" s="43">
        <f t="shared" si="1"/>
        <v>0.3</v>
      </c>
      <c r="R20" s="43"/>
      <c r="S20" s="43">
        <f>営業第三部!N10</f>
        <v>1.08</v>
      </c>
      <c r="T20" s="43"/>
      <c r="U20" s="8" t="str">
        <f t="shared" si="2"/>
        <v>○</v>
      </c>
      <c r="V20" s="3"/>
    </row>
    <row r="21" spans="1:22" ht="19.95" customHeight="1" x14ac:dyDescent="0.45">
      <c r="A21" s="3"/>
      <c r="B21" s="24" t="s">
        <v>13</v>
      </c>
      <c r="C21" s="24"/>
      <c r="D21" s="24"/>
      <c r="E21" s="24"/>
      <c r="F21" s="25">
        <f>法人営業部!B10</f>
        <v>36500000</v>
      </c>
      <c r="G21" s="25"/>
      <c r="H21" s="25"/>
      <c r="I21" s="25">
        <f>法人営業部!F10</f>
        <v>35030000</v>
      </c>
      <c r="J21" s="25"/>
      <c r="K21" s="25"/>
      <c r="L21" s="26">
        <f t="shared" si="0"/>
        <v>1.0419640308307165</v>
      </c>
      <c r="M21" s="26"/>
      <c r="N21" s="25">
        <f>法人営業部!N42</f>
        <v>9855000</v>
      </c>
      <c r="O21" s="25"/>
      <c r="P21" s="25"/>
      <c r="Q21" s="26">
        <f t="shared" si="1"/>
        <v>0.27</v>
      </c>
      <c r="R21" s="26"/>
      <c r="S21" s="26">
        <f>法人営業部!N10</f>
        <v>1.1200000000000001</v>
      </c>
      <c r="T21" s="26"/>
      <c r="U21" s="9" t="str">
        <f t="shared" si="2"/>
        <v>○</v>
      </c>
      <c r="V21" s="3"/>
    </row>
    <row r="22" spans="1:22" ht="19.95" customHeight="1" x14ac:dyDescent="0.45">
      <c r="A22" s="3"/>
      <c r="B22" s="41" t="s">
        <v>14</v>
      </c>
      <c r="C22" s="41"/>
      <c r="D22" s="41"/>
      <c r="E22" s="41"/>
      <c r="F22" s="42">
        <f>海外事業部!B10</f>
        <v>11720000</v>
      </c>
      <c r="G22" s="42"/>
      <c r="H22" s="42"/>
      <c r="I22" s="42">
        <f>海外事業部!F10</f>
        <v>12400000</v>
      </c>
      <c r="J22" s="42"/>
      <c r="K22" s="42"/>
      <c r="L22" s="43">
        <f t="shared" si="0"/>
        <v>0.94516129032258067</v>
      </c>
      <c r="M22" s="43"/>
      <c r="N22" s="42">
        <f>海外事業部!N42</f>
        <v>2930000</v>
      </c>
      <c r="O22" s="42"/>
      <c r="P22" s="42"/>
      <c r="Q22" s="43">
        <f t="shared" si="1"/>
        <v>0.25</v>
      </c>
      <c r="R22" s="43"/>
      <c r="S22" s="43">
        <f>海外事業部!N10</f>
        <v>0.92</v>
      </c>
      <c r="T22" s="43"/>
      <c r="U22" s="8" t="str">
        <f t="shared" si="2"/>
        <v>×</v>
      </c>
      <c r="V22" s="3"/>
    </row>
    <row r="23" spans="1:22" ht="19.95" customHeight="1" x14ac:dyDescent="0.45">
      <c r="A23" s="3"/>
      <c r="B23" s="24" t="s">
        <v>15</v>
      </c>
      <c r="C23" s="24"/>
      <c r="D23" s="24"/>
      <c r="E23" s="24"/>
      <c r="F23" s="25">
        <f>EC事業部!B10</f>
        <v>11310000</v>
      </c>
      <c r="G23" s="25"/>
      <c r="H23" s="25"/>
      <c r="I23" s="25">
        <f>EC事業部!F10</f>
        <v>10470000</v>
      </c>
      <c r="J23" s="25"/>
      <c r="K23" s="25"/>
      <c r="L23" s="26">
        <f t="shared" si="0"/>
        <v>1.0802292263610316</v>
      </c>
      <c r="M23" s="26"/>
      <c r="N23" s="25">
        <f>EC事業部!N42</f>
        <v>3958500</v>
      </c>
      <c r="O23" s="25"/>
      <c r="P23" s="25"/>
      <c r="Q23" s="26">
        <f t="shared" si="1"/>
        <v>0.35</v>
      </c>
      <c r="R23" s="26"/>
      <c r="S23" s="26">
        <f>EC事業部!N10</f>
        <v>1.25</v>
      </c>
      <c r="T23" s="26"/>
      <c r="U23" s="9" t="str">
        <f t="shared" si="2"/>
        <v>◎</v>
      </c>
      <c r="V23" s="3"/>
    </row>
    <row r="24" spans="1:22" ht="19.95" customHeight="1" x14ac:dyDescent="0.45">
      <c r="A24" s="3"/>
      <c r="B24" s="22"/>
      <c r="C24" s="22"/>
      <c r="D24" s="22"/>
      <c r="E24" s="22"/>
      <c r="F24" s="23"/>
      <c r="G24" s="23"/>
      <c r="H24" s="23"/>
      <c r="I24" s="23"/>
      <c r="J24" s="23"/>
      <c r="K24" s="23"/>
      <c r="L24" s="12"/>
      <c r="M24" s="12"/>
      <c r="N24" s="23"/>
      <c r="O24" s="23"/>
      <c r="P24" s="23"/>
      <c r="Q24" s="12"/>
      <c r="R24" s="12"/>
      <c r="S24" s="12"/>
      <c r="T24" s="12"/>
      <c r="U24" s="10"/>
      <c r="V24" s="3"/>
    </row>
    <row r="25" spans="1:22" ht="19.95" customHeight="1" x14ac:dyDescent="0.45">
      <c r="A25" s="3"/>
      <c r="B25" s="24"/>
      <c r="C25" s="24"/>
      <c r="D25" s="24"/>
      <c r="E25" s="24"/>
      <c r="F25" s="25"/>
      <c r="G25" s="25"/>
      <c r="H25" s="25"/>
      <c r="I25" s="25"/>
      <c r="J25" s="25"/>
      <c r="K25" s="25"/>
      <c r="L25" s="26"/>
      <c r="M25" s="26"/>
      <c r="N25" s="25"/>
      <c r="O25" s="25"/>
      <c r="P25" s="25"/>
      <c r="Q25" s="26"/>
      <c r="R25" s="26"/>
      <c r="S25" s="26"/>
      <c r="T25" s="26"/>
      <c r="U25" s="9"/>
      <c r="V25" s="3"/>
    </row>
    <row r="26" spans="1:22" ht="19.95" customHeight="1" x14ac:dyDescent="0.45">
      <c r="A26" s="3"/>
      <c r="B26" s="22"/>
      <c r="C26" s="22"/>
      <c r="D26" s="22"/>
      <c r="E26" s="22"/>
      <c r="F26" s="23"/>
      <c r="G26" s="23"/>
      <c r="H26" s="23"/>
      <c r="I26" s="23"/>
      <c r="J26" s="23"/>
      <c r="K26" s="23"/>
      <c r="L26" s="12"/>
      <c r="M26" s="12"/>
      <c r="N26" s="23"/>
      <c r="O26" s="23"/>
      <c r="P26" s="23"/>
      <c r="Q26" s="12"/>
      <c r="R26" s="12"/>
      <c r="S26" s="12"/>
      <c r="T26" s="12"/>
      <c r="U26" s="10"/>
      <c r="V26" s="3"/>
    </row>
    <row r="27" spans="1:22" ht="19.95" customHeight="1" x14ac:dyDescent="0.45">
      <c r="A27" s="3"/>
      <c r="B27" s="24"/>
      <c r="C27" s="24"/>
      <c r="D27" s="24"/>
      <c r="E27" s="24"/>
      <c r="F27" s="25"/>
      <c r="G27" s="25"/>
      <c r="H27" s="25"/>
      <c r="I27" s="25"/>
      <c r="J27" s="25"/>
      <c r="K27" s="25"/>
      <c r="L27" s="26"/>
      <c r="M27" s="26"/>
      <c r="N27" s="25"/>
      <c r="O27" s="25"/>
      <c r="P27" s="25"/>
      <c r="Q27" s="26"/>
      <c r="R27" s="26"/>
      <c r="S27" s="26"/>
      <c r="T27" s="26"/>
      <c r="U27" s="9"/>
      <c r="V27" s="3"/>
    </row>
    <row r="28" spans="1:22" ht="19.95" customHeight="1" x14ac:dyDescent="0.45">
      <c r="A28" s="3"/>
      <c r="B28" s="22"/>
      <c r="C28" s="22"/>
      <c r="D28" s="22"/>
      <c r="E28" s="22"/>
      <c r="F28" s="23"/>
      <c r="G28" s="23"/>
      <c r="H28" s="23"/>
      <c r="I28" s="23"/>
      <c r="J28" s="23"/>
      <c r="K28" s="23"/>
      <c r="L28" s="12"/>
      <c r="M28" s="12"/>
      <c r="N28" s="23"/>
      <c r="O28" s="23"/>
      <c r="P28" s="23"/>
      <c r="Q28" s="12"/>
      <c r="R28" s="12"/>
      <c r="S28" s="12"/>
      <c r="T28" s="12"/>
      <c r="U28" s="10"/>
      <c r="V28" s="3"/>
    </row>
    <row r="29" spans="1:22" ht="24" customHeight="1" x14ac:dyDescent="0.45">
      <c r="A29" s="3"/>
      <c r="B29" s="38" t="s">
        <v>170</v>
      </c>
      <c r="C29" s="38"/>
      <c r="D29" s="38"/>
      <c r="E29" s="38"/>
      <c r="F29" s="39">
        <f>SUM(F18:F23)</f>
        <v>123640000</v>
      </c>
      <c r="G29" s="39"/>
      <c r="H29" s="39"/>
      <c r="I29" s="39">
        <f>SUM(I18:I23)</f>
        <v>120110000</v>
      </c>
      <c r="J29" s="39"/>
      <c r="K29" s="39"/>
      <c r="L29" s="40">
        <f>IF(I29=0,"",F29/I29)</f>
        <v>1.0293897260844227</v>
      </c>
      <c r="M29" s="40"/>
      <c r="N29" s="39">
        <f>SUM(N18:N23)</f>
        <v>35577900</v>
      </c>
      <c r="O29" s="39"/>
      <c r="P29" s="39"/>
      <c r="Q29" s="40">
        <f>IF(F29=0,"",N29/F29)</f>
        <v>0.2877539631187318</v>
      </c>
      <c r="R29" s="40"/>
      <c r="S29" s="40" cm="1">
        <f t="array" ref="S29">IF(SUMPRODUCT(F18:F23/S18:S23)=0,"",F29/SUMPRODUCT(F18:F23/S18:S23))</f>
        <v>1.0639126676853174</v>
      </c>
      <c r="T29" s="40"/>
      <c r="U29" s="6" t="str">
        <f>IF(L29="","",IF(L29&gt;=1.05,"◎",IF(L29&gt;=1,"○",IF(L29&gt;=0.95,"△","×"))))</f>
        <v>○</v>
      </c>
      <c r="V29" s="3"/>
    </row>
    <row r="30" spans="1:22" ht="7.95" customHeight="1" x14ac:dyDescent="0.45">
      <c r="A30" s="3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11"/>
      <c r="V30" s="3"/>
    </row>
    <row r="31" spans="1:22" ht="16.05" customHeight="1" x14ac:dyDescent="0.45">
      <c r="A31" s="3"/>
      <c r="V31" s="3"/>
    </row>
    <row r="32" spans="1:22" ht="16.05" customHeight="1" x14ac:dyDescent="0.45">
      <c r="A32" s="3"/>
      <c r="B32" s="47" t="s">
        <v>23</v>
      </c>
      <c r="C32" s="29"/>
      <c r="D32" s="29"/>
      <c r="V32" s="3"/>
    </row>
    <row r="33" spans="1:22" ht="7.95" customHeight="1" x14ac:dyDescent="0.45">
      <c r="A33" s="3"/>
      <c r="B33" s="13" t="s">
        <v>171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3"/>
    </row>
    <row r="34" spans="1:22" ht="16.05" customHeight="1" x14ac:dyDescent="0.45">
      <c r="A34" s="3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V34" s="3"/>
    </row>
    <row r="35" spans="1:22" ht="18" customHeight="1" x14ac:dyDescent="0.45">
      <c r="A35" s="3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8"/>
      <c r="V35" s="3"/>
    </row>
    <row r="36" spans="1:22" ht="18" customHeight="1" x14ac:dyDescent="0.45">
      <c r="A36" s="3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8"/>
      <c r="V36" s="3"/>
    </row>
    <row r="37" spans="1:22" ht="18" customHeight="1" x14ac:dyDescent="0.45">
      <c r="A37" s="2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8"/>
      <c r="V37" s="2"/>
    </row>
    <row r="38" spans="1:22" ht="18" customHeight="1" x14ac:dyDescent="0.45">
      <c r="A38" s="2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V38" s="2"/>
    </row>
    <row r="39" spans="1:22" ht="18" customHeight="1" x14ac:dyDescent="0.45">
      <c r="A39" s="2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8"/>
      <c r="V39" s="2"/>
    </row>
    <row r="40" spans="1:22" ht="18" customHeight="1" x14ac:dyDescent="0.45">
      <c r="A40" s="2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8"/>
      <c r="V40" s="2"/>
    </row>
    <row r="41" spans="1:22" ht="18" customHeight="1" x14ac:dyDescent="0.45">
      <c r="A41" s="2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8"/>
      <c r="V41" s="2"/>
    </row>
    <row r="42" spans="1:22" ht="18" customHeight="1" x14ac:dyDescent="0.45">
      <c r="A42" s="2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V42" s="2"/>
    </row>
    <row r="43" spans="1:22" ht="18" customHeight="1" x14ac:dyDescent="0.45">
      <c r="A43" s="2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1"/>
      <c r="V43" s="2"/>
    </row>
    <row r="44" spans="1:22" ht="18" customHeight="1" x14ac:dyDescent="0.45">
      <c r="A44" s="2"/>
      <c r="B44" s="48" t="s">
        <v>20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"/>
    </row>
    <row r="45" spans="1:22" ht="18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22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119">
    <mergeCell ref="B17:E17"/>
    <mergeCell ref="F17:H17"/>
    <mergeCell ref="I17:K17"/>
    <mergeCell ref="L17:M17"/>
    <mergeCell ref="N17:P17"/>
    <mergeCell ref="B32:D32"/>
    <mergeCell ref="B44:U44"/>
    <mergeCell ref="B8:U8"/>
    <mergeCell ref="B30:E30"/>
    <mergeCell ref="F30:H30"/>
    <mergeCell ref="I30:K30"/>
    <mergeCell ref="L30:M30"/>
    <mergeCell ref="N30:P30"/>
    <mergeCell ref="Q30:R30"/>
    <mergeCell ref="S30:T30"/>
    <mergeCell ref="Q11:U11"/>
    <mergeCell ref="B12:F13"/>
    <mergeCell ref="G12:K13"/>
    <mergeCell ref="L12:P13"/>
    <mergeCell ref="Q12:U13"/>
    <mergeCell ref="Q17:R17"/>
    <mergeCell ref="Q21:R21"/>
    <mergeCell ref="S19:T19"/>
    <mergeCell ref="B20:E20"/>
    <mergeCell ref="F20:H20"/>
    <mergeCell ref="I20:K20"/>
    <mergeCell ref="L20:M20"/>
    <mergeCell ref="N20:P20"/>
    <mergeCell ref="Q20:R20"/>
    <mergeCell ref="S20:T20"/>
    <mergeCell ref="B19:E19"/>
    <mergeCell ref="F19:H19"/>
    <mergeCell ref="I19:K19"/>
    <mergeCell ref="L19:M19"/>
    <mergeCell ref="N19:P19"/>
    <mergeCell ref="Q19:R19"/>
    <mergeCell ref="S17:T17"/>
    <mergeCell ref="B18:E18"/>
    <mergeCell ref="F18:H18"/>
    <mergeCell ref="I18:K18"/>
    <mergeCell ref="L18:M18"/>
    <mergeCell ref="N18:P18"/>
    <mergeCell ref="Q18:R18"/>
    <mergeCell ref="S18:T18"/>
    <mergeCell ref="S21:T21"/>
    <mergeCell ref="B22:E22"/>
    <mergeCell ref="F22:H22"/>
    <mergeCell ref="I22:K22"/>
    <mergeCell ref="L22:M22"/>
    <mergeCell ref="N22:P22"/>
    <mergeCell ref="Q22:R22"/>
    <mergeCell ref="S22:T22"/>
    <mergeCell ref="B21:E21"/>
    <mergeCell ref="F21:H21"/>
    <mergeCell ref="I21:K21"/>
    <mergeCell ref="L21:M21"/>
    <mergeCell ref="N21:P21"/>
    <mergeCell ref="S23:T23"/>
    <mergeCell ref="B29:E29"/>
    <mergeCell ref="F29:H29"/>
    <mergeCell ref="I29:K29"/>
    <mergeCell ref="L29:M29"/>
    <mergeCell ref="N29:P29"/>
    <mergeCell ref="Q29:R29"/>
    <mergeCell ref="S29:T29"/>
    <mergeCell ref="B23:E23"/>
    <mergeCell ref="F23:H23"/>
    <mergeCell ref="I23:K23"/>
    <mergeCell ref="B24:E24"/>
    <mergeCell ref="F24:H24"/>
    <mergeCell ref="I24:K24"/>
    <mergeCell ref="L23:M23"/>
    <mergeCell ref="N23:P23"/>
    <mergeCell ref="Q23:R23"/>
    <mergeCell ref="B1:U1"/>
    <mergeCell ref="B4:U4"/>
    <mergeCell ref="E5:Q5"/>
    <mergeCell ref="B7:G7"/>
    <mergeCell ref="I7:M7"/>
    <mergeCell ref="O7:U7"/>
    <mergeCell ref="B2:U3"/>
    <mergeCell ref="B10:D10"/>
    <mergeCell ref="B15:E15"/>
    <mergeCell ref="B11:F11"/>
    <mergeCell ref="G11:K11"/>
    <mergeCell ref="L11:P11"/>
    <mergeCell ref="L24:M24"/>
    <mergeCell ref="N24:P24"/>
    <mergeCell ref="Q24:R24"/>
    <mergeCell ref="S24:T24"/>
    <mergeCell ref="B25:E25"/>
    <mergeCell ref="F25:H25"/>
    <mergeCell ref="I25:K25"/>
    <mergeCell ref="L25:M25"/>
    <mergeCell ref="N25:P25"/>
    <mergeCell ref="Q25:R25"/>
    <mergeCell ref="S25:T25"/>
    <mergeCell ref="Q28:R28"/>
    <mergeCell ref="S28:T28"/>
    <mergeCell ref="B33:U43"/>
    <mergeCell ref="B28:E28"/>
    <mergeCell ref="F28:H28"/>
    <mergeCell ref="I28:K28"/>
    <mergeCell ref="L28:M28"/>
    <mergeCell ref="N28:P28"/>
    <mergeCell ref="Q26:R26"/>
    <mergeCell ref="S26:T26"/>
    <mergeCell ref="B27:E27"/>
    <mergeCell ref="F27:H27"/>
    <mergeCell ref="I27:K27"/>
    <mergeCell ref="L27:M27"/>
    <mergeCell ref="N27:P27"/>
    <mergeCell ref="Q27:R27"/>
    <mergeCell ref="S27:T27"/>
    <mergeCell ref="B26:E26"/>
    <mergeCell ref="F26:H26"/>
    <mergeCell ref="I26:K26"/>
    <mergeCell ref="L26:M26"/>
    <mergeCell ref="N26:P26"/>
  </mergeCells>
  <phoneticPr fontId="3"/>
  <pageMargins left="0.7" right="0.7" top="0.75" bottom="0.75" header="0.3" footer="0.3"/>
  <pageSetup paperSize="9" scale="8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AA88-7CF9-4B17-87C4-B79C0B0C8393}">
  <sheetPr>
    <pageSetUpPr fitToPage="1"/>
  </sheetPr>
  <dimension ref="B1:U42"/>
  <sheetViews>
    <sheetView view="pageBreakPreview" topLeftCell="A2" zoomScaleNormal="100" zoomScaleSheetLayoutView="100" workbookViewId="0">
      <selection activeCell="B2" sqref="B2:U3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25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22270000</v>
      </c>
      <c r="C10" s="97"/>
      <c r="D10" s="97"/>
      <c r="E10" s="97"/>
      <c r="F10" s="97">
        <v>20750000</v>
      </c>
      <c r="G10" s="97"/>
      <c r="H10" s="97"/>
      <c r="I10" s="97"/>
      <c r="J10" s="95">
        <f>IF(F10=0,"",B10/F10)</f>
        <v>1.0732530120481927</v>
      </c>
      <c r="K10" s="95"/>
      <c r="L10" s="95"/>
      <c r="M10" s="95"/>
      <c r="N10" s="95">
        <v>1.05</v>
      </c>
      <c r="O10" s="95"/>
      <c r="P10" s="95"/>
      <c r="Q10" s="95"/>
      <c r="R10" s="96" t="str">
        <f>IF(J10="","",IF(J10&gt;=1.05,"◎",IF(J10&gt;=1,"○",IF(J10&gt;=0.95,"△","×"))))</f>
        <v>◎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83" t="s">
        <v>7</v>
      </c>
      <c r="O13" s="83"/>
      <c r="P13" s="83"/>
      <c r="Q13" s="83" t="s">
        <v>8</v>
      </c>
      <c r="R13" s="83"/>
      <c r="S13" s="83" t="s">
        <v>31</v>
      </c>
      <c r="T13" s="83"/>
      <c r="U13" s="83"/>
    </row>
    <row r="14" spans="2:21" x14ac:dyDescent="0.45">
      <c r="B14" s="91">
        <v>46206</v>
      </c>
      <c r="C14" s="91"/>
      <c r="D14" s="92" t="s">
        <v>32</v>
      </c>
      <c r="E14" s="92"/>
      <c r="F14" s="92"/>
      <c r="G14" s="92"/>
      <c r="H14" s="92" t="s">
        <v>33</v>
      </c>
      <c r="I14" s="92"/>
      <c r="J14" s="92"/>
      <c r="K14" s="84">
        <v>2500000</v>
      </c>
      <c r="L14" s="84"/>
      <c r="M14" s="84"/>
      <c r="N14" s="84">
        <v>750000</v>
      </c>
      <c r="O14" s="84"/>
      <c r="P14" s="84"/>
      <c r="Q14" s="82">
        <f t="shared" ref="Q14:Q28" si="0">IF(K14=0,"",N14/K14)</f>
        <v>0.3</v>
      </c>
      <c r="R14" s="82"/>
      <c r="S14" s="86" t="s">
        <v>34</v>
      </c>
      <c r="T14" s="86"/>
      <c r="U14" s="86"/>
    </row>
    <row r="15" spans="2:21" x14ac:dyDescent="0.45">
      <c r="B15" s="89">
        <v>46211</v>
      </c>
      <c r="C15" s="89"/>
      <c r="D15" s="90" t="s">
        <v>35</v>
      </c>
      <c r="E15" s="90"/>
      <c r="F15" s="90"/>
      <c r="G15" s="90"/>
      <c r="H15" s="90" t="s">
        <v>36</v>
      </c>
      <c r="I15" s="90"/>
      <c r="J15" s="90"/>
      <c r="K15" s="85">
        <v>1200000</v>
      </c>
      <c r="L15" s="85"/>
      <c r="M15" s="85"/>
      <c r="N15" s="85">
        <v>360000</v>
      </c>
      <c r="O15" s="85"/>
      <c r="P15" s="85"/>
      <c r="Q15" s="81">
        <f t="shared" si="0"/>
        <v>0.3</v>
      </c>
      <c r="R15" s="81"/>
      <c r="S15" s="87" t="s">
        <v>37</v>
      </c>
      <c r="T15" s="87"/>
      <c r="U15" s="87"/>
    </row>
    <row r="16" spans="2:21" x14ac:dyDescent="0.45">
      <c r="B16" s="91">
        <v>46218</v>
      </c>
      <c r="C16" s="91"/>
      <c r="D16" s="92" t="s">
        <v>38</v>
      </c>
      <c r="E16" s="92"/>
      <c r="F16" s="92"/>
      <c r="G16" s="92"/>
      <c r="H16" s="92" t="s">
        <v>39</v>
      </c>
      <c r="I16" s="92"/>
      <c r="J16" s="92"/>
      <c r="K16" s="84">
        <v>1800000</v>
      </c>
      <c r="L16" s="84"/>
      <c r="M16" s="84"/>
      <c r="N16" s="84">
        <v>540000</v>
      </c>
      <c r="O16" s="84"/>
      <c r="P16" s="84"/>
      <c r="Q16" s="82">
        <f t="shared" si="0"/>
        <v>0.3</v>
      </c>
      <c r="R16" s="82"/>
      <c r="S16" s="86" t="s">
        <v>34</v>
      </c>
      <c r="T16" s="86"/>
      <c r="U16" s="86"/>
    </row>
    <row r="17" spans="2:21" x14ac:dyDescent="0.45">
      <c r="B17" s="89">
        <v>46225</v>
      </c>
      <c r="C17" s="89"/>
      <c r="D17" s="90" t="s">
        <v>40</v>
      </c>
      <c r="E17" s="90"/>
      <c r="F17" s="90"/>
      <c r="G17" s="90"/>
      <c r="H17" s="90" t="s">
        <v>41</v>
      </c>
      <c r="I17" s="90"/>
      <c r="J17" s="90"/>
      <c r="K17" s="85">
        <v>1550000</v>
      </c>
      <c r="L17" s="85"/>
      <c r="M17" s="85"/>
      <c r="N17" s="85">
        <v>465000</v>
      </c>
      <c r="O17" s="85"/>
      <c r="P17" s="85"/>
      <c r="Q17" s="81">
        <f t="shared" si="0"/>
        <v>0.3</v>
      </c>
      <c r="R17" s="81"/>
      <c r="S17" s="87" t="s">
        <v>42</v>
      </c>
      <c r="T17" s="87"/>
      <c r="U17" s="87"/>
    </row>
    <row r="18" spans="2:21" x14ac:dyDescent="0.45">
      <c r="B18" s="91">
        <v>46231</v>
      </c>
      <c r="C18" s="91"/>
      <c r="D18" s="92" t="s">
        <v>43</v>
      </c>
      <c r="E18" s="92"/>
      <c r="F18" s="92"/>
      <c r="G18" s="92"/>
      <c r="H18" s="92" t="s">
        <v>44</v>
      </c>
      <c r="I18" s="92"/>
      <c r="J18" s="92"/>
      <c r="K18" s="84">
        <v>1000000</v>
      </c>
      <c r="L18" s="84"/>
      <c r="M18" s="84"/>
      <c r="N18" s="84">
        <v>300000</v>
      </c>
      <c r="O18" s="84"/>
      <c r="P18" s="84"/>
      <c r="Q18" s="82">
        <f t="shared" si="0"/>
        <v>0.3</v>
      </c>
      <c r="R18" s="82"/>
      <c r="S18" s="86" t="s">
        <v>37</v>
      </c>
      <c r="T18" s="86"/>
      <c r="U18" s="86"/>
    </row>
    <row r="19" spans="2:21" x14ac:dyDescent="0.45">
      <c r="B19" s="89">
        <v>46202</v>
      </c>
      <c r="C19" s="89"/>
      <c r="D19" s="90" t="s">
        <v>47</v>
      </c>
      <c r="E19" s="90"/>
      <c r="F19" s="90"/>
      <c r="G19" s="90"/>
      <c r="H19" s="90" t="s">
        <v>39</v>
      </c>
      <c r="I19" s="90"/>
      <c r="J19" s="90"/>
      <c r="K19" s="85">
        <v>1350000</v>
      </c>
      <c r="L19" s="85"/>
      <c r="M19" s="85"/>
      <c r="N19" s="85">
        <v>405000</v>
      </c>
      <c r="O19" s="85"/>
      <c r="P19" s="85"/>
      <c r="Q19" s="81">
        <f t="shared" si="0"/>
        <v>0.3</v>
      </c>
      <c r="R19" s="81"/>
      <c r="S19" s="87" t="s">
        <v>34</v>
      </c>
      <c r="T19" s="87"/>
      <c r="U19" s="87"/>
    </row>
    <row r="20" spans="2:21" x14ac:dyDescent="0.45">
      <c r="B20" s="91">
        <v>46205</v>
      </c>
      <c r="C20" s="91"/>
      <c r="D20" s="92" t="s">
        <v>96</v>
      </c>
      <c r="E20" s="92"/>
      <c r="F20" s="92"/>
      <c r="G20" s="92"/>
      <c r="H20" s="92" t="s">
        <v>50</v>
      </c>
      <c r="I20" s="92"/>
      <c r="J20" s="92"/>
      <c r="K20" s="84">
        <v>980000</v>
      </c>
      <c r="L20" s="84"/>
      <c r="M20" s="84"/>
      <c r="N20" s="84">
        <v>294000</v>
      </c>
      <c r="O20" s="84"/>
      <c r="P20" s="84"/>
      <c r="Q20" s="82">
        <f t="shared" si="0"/>
        <v>0.3</v>
      </c>
      <c r="R20" s="82"/>
      <c r="S20" s="86" t="s">
        <v>42</v>
      </c>
      <c r="T20" s="86"/>
      <c r="U20" s="86"/>
    </row>
    <row r="21" spans="2:21" x14ac:dyDescent="0.45">
      <c r="B21" s="89">
        <v>46209</v>
      </c>
      <c r="C21" s="89"/>
      <c r="D21" s="90" t="s">
        <v>97</v>
      </c>
      <c r="E21" s="90"/>
      <c r="F21" s="90"/>
      <c r="G21" s="90"/>
      <c r="H21" s="90" t="s">
        <v>98</v>
      </c>
      <c r="I21" s="90"/>
      <c r="J21" s="90"/>
      <c r="K21" s="85">
        <v>2100000</v>
      </c>
      <c r="L21" s="85"/>
      <c r="M21" s="85"/>
      <c r="N21" s="85">
        <v>630000</v>
      </c>
      <c r="O21" s="85"/>
      <c r="P21" s="85"/>
      <c r="Q21" s="81">
        <f t="shared" si="0"/>
        <v>0.3</v>
      </c>
      <c r="R21" s="81"/>
      <c r="S21" s="87" t="s">
        <v>37</v>
      </c>
      <c r="T21" s="87"/>
      <c r="U21" s="87"/>
    </row>
    <row r="22" spans="2:21" x14ac:dyDescent="0.45">
      <c r="B22" s="91">
        <v>46213</v>
      </c>
      <c r="C22" s="91"/>
      <c r="D22" s="92" t="s">
        <v>99</v>
      </c>
      <c r="E22" s="92"/>
      <c r="F22" s="92"/>
      <c r="G22" s="92"/>
      <c r="H22" s="92" t="s">
        <v>41</v>
      </c>
      <c r="I22" s="92"/>
      <c r="J22" s="92"/>
      <c r="K22" s="84">
        <v>1150000</v>
      </c>
      <c r="L22" s="84"/>
      <c r="M22" s="84"/>
      <c r="N22" s="84">
        <v>345000</v>
      </c>
      <c r="O22" s="84"/>
      <c r="P22" s="84"/>
      <c r="Q22" s="82">
        <f t="shared" si="0"/>
        <v>0.3</v>
      </c>
      <c r="R22" s="82"/>
      <c r="S22" s="86" t="s">
        <v>34</v>
      </c>
      <c r="T22" s="86"/>
      <c r="U22" s="86"/>
    </row>
    <row r="23" spans="2:21" x14ac:dyDescent="0.45">
      <c r="B23" s="89">
        <v>46216</v>
      </c>
      <c r="C23" s="89"/>
      <c r="D23" s="90" t="s">
        <v>100</v>
      </c>
      <c r="E23" s="90"/>
      <c r="F23" s="90"/>
      <c r="G23" s="90"/>
      <c r="H23" s="90" t="s">
        <v>44</v>
      </c>
      <c r="I23" s="90"/>
      <c r="J23" s="90"/>
      <c r="K23" s="85">
        <v>750000</v>
      </c>
      <c r="L23" s="85"/>
      <c r="M23" s="85"/>
      <c r="N23" s="85">
        <v>225000</v>
      </c>
      <c r="O23" s="85"/>
      <c r="P23" s="85"/>
      <c r="Q23" s="81">
        <f t="shared" si="0"/>
        <v>0.3</v>
      </c>
      <c r="R23" s="81"/>
      <c r="S23" s="87" t="s">
        <v>42</v>
      </c>
      <c r="T23" s="87"/>
      <c r="U23" s="87"/>
    </row>
    <row r="24" spans="2:21" x14ac:dyDescent="0.45">
      <c r="B24" s="91">
        <v>46220</v>
      </c>
      <c r="C24" s="91"/>
      <c r="D24" s="92" t="s">
        <v>101</v>
      </c>
      <c r="E24" s="92"/>
      <c r="F24" s="92"/>
      <c r="G24" s="92"/>
      <c r="H24" s="92" t="s">
        <v>58</v>
      </c>
      <c r="I24" s="92"/>
      <c r="J24" s="92"/>
      <c r="K24" s="84">
        <v>2800000</v>
      </c>
      <c r="L24" s="84"/>
      <c r="M24" s="84"/>
      <c r="N24" s="84">
        <v>840000</v>
      </c>
      <c r="O24" s="84"/>
      <c r="P24" s="84"/>
      <c r="Q24" s="82">
        <f t="shared" si="0"/>
        <v>0.3</v>
      </c>
      <c r="R24" s="82"/>
      <c r="S24" s="86" t="s">
        <v>37</v>
      </c>
      <c r="T24" s="86"/>
      <c r="U24" s="86"/>
    </row>
    <row r="25" spans="2:21" x14ac:dyDescent="0.45">
      <c r="B25" s="89">
        <v>46223</v>
      </c>
      <c r="C25" s="89"/>
      <c r="D25" s="90" t="s">
        <v>102</v>
      </c>
      <c r="E25" s="90"/>
      <c r="F25" s="90"/>
      <c r="G25" s="90"/>
      <c r="H25" s="90" t="s">
        <v>39</v>
      </c>
      <c r="I25" s="90"/>
      <c r="J25" s="90"/>
      <c r="K25" s="85">
        <v>1680000</v>
      </c>
      <c r="L25" s="85"/>
      <c r="M25" s="85"/>
      <c r="N25" s="85">
        <v>504000</v>
      </c>
      <c r="O25" s="85"/>
      <c r="P25" s="85"/>
      <c r="Q25" s="81">
        <f t="shared" si="0"/>
        <v>0.3</v>
      </c>
      <c r="R25" s="81"/>
      <c r="S25" s="87" t="s">
        <v>34</v>
      </c>
      <c r="T25" s="87"/>
      <c r="U25" s="87"/>
    </row>
    <row r="26" spans="2:21" x14ac:dyDescent="0.45">
      <c r="B26" s="91">
        <v>46226</v>
      </c>
      <c r="C26" s="91"/>
      <c r="D26" s="92" t="s">
        <v>103</v>
      </c>
      <c r="E26" s="92"/>
      <c r="F26" s="92"/>
      <c r="G26" s="92"/>
      <c r="H26" s="92" t="s">
        <v>50</v>
      </c>
      <c r="I26" s="92"/>
      <c r="J26" s="92"/>
      <c r="K26" s="84">
        <v>890000</v>
      </c>
      <c r="L26" s="84"/>
      <c r="M26" s="84"/>
      <c r="N26" s="84">
        <v>267000</v>
      </c>
      <c r="O26" s="84"/>
      <c r="P26" s="84"/>
      <c r="Q26" s="82">
        <f t="shared" si="0"/>
        <v>0.3</v>
      </c>
      <c r="R26" s="82"/>
      <c r="S26" s="86" t="s">
        <v>42</v>
      </c>
      <c r="T26" s="86"/>
      <c r="U26" s="86"/>
    </row>
    <row r="27" spans="2:21" x14ac:dyDescent="0.45">
      <c r="B27" s="89">
        <v>46229</v>
      </c>
      <c r="C27" s="89"/>
      <c r="D27" s="90" t="s">
        <v>104</v>
      </c>
      <c r="E27" s="90"/>
      <c r="F27" s="90"/>
      <c r="G27" s="90"/>
      <c r="H27" s="90" t="s">
        <v>53</v>
      </c>
      <c r="I27" s="90"/>
      <c r="J27" s="90"/>
      <c r="K27" s="85">
        <v>1420000</v>
      </c>
      <c r="L27" s="85"/>
      <c r="M27" s="85"/>
      <c r="N27" s="85">
        <v>426000</v>
      </c>
      <c r="O27" s="85"/>
      <c r="P27" s="85"/>
      <c r="Q27" s="81">
        <f t="shared" si="0"/>
        <v>0.3</v>
      </c>
      <c r="R27" s="81"/>
      <c r="S27" s="87" t="s">
        <v>37</v>
      </c>
      <c r="T27" s="87"/>
      <c r="U27" s="87"/>
    </row>
    <row r="28" spans="2:21" x14ac:dyDescent="0.45">
      <c r="B28" s="91">
        <v>46232</v>
      </c>
      <c r="C28" s="91"/>
      <c r="D28" s="92" t="s">
        <v>105</v>
      </c>
      <c r="E28" s="92"/>
      <c r="F28" s="92"/>
      <c r="G28" s="92"/>
      <c r="H28" s="92" t="s">
        <v>44</v>
      </c>
      <c r="I28" s="92"/>
      <c r="J28" s="92"/>
      <c r="K28" s="84">
        <v>1100000</v>
      </c>
      <c r="L28" s="84"/>
      <c r="M28" s="84"/>
      <c r="N28" s="84">
        <v>330000</v>
      </c>
      <c r="O28" s="84"/>
      <c r="P28" s="84"/>
      <c r="Q28" s="82">
        <f t="shared" si="0"/>
        <v>0.3</v>
      </c>
      <c r="R28" s="82"/>
      <c r="S28" s="86" t="s">
        <v>34</v>
      </c>
      <c r="T28" s="86"/>
      <c r="U28" s="86"/>
    </row>
    <row r="29" spans="2:2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SUM(K14:M34)</f>
        <v>22270000</v>
      </c>
      <c r="L42" s="39"/>
      <c r="M42" s="39"/>
      <c r="N42" s="39">
        <f>SUM(N14:P34)</f>
        <v>6681000</v>
      </c>
      <c r="O42" s="39"/>
      <c r="P42" s="39"/>
      <c r="Q42" s="40">
        <f>IF(K42=0,"",N42/K42)</f>
        <v>0.3</v>
      </c>
      <c r="R42" s="40"/>
      <c r="S42" s="88"/>
      <c r="T42" s="88"/>
      <c r="U42" s="88"/>
    </row>
  </sheetData>
  <mergeCells count="227"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D42:G42"/>
    <mergeCell ref="H42:J42"/>
    <mergeCell ref="B30:C30"/>
    <mergeCell ref="B26:C26"/>
    <mergeCell ref="D26:G26"/>
    <mergeCell ref="H26:J26"/>
    <mergeCell ref="K26:M26"/>
    <mergeCell ref="B25:C25"/>
    <mergeCell ref="D25:G25"/>
    <mergeCell ref="H25:J25"/>
    <mergeCell ref="K25:M25"/>
    <mergeCell ref="Q25:R25"/>
    <mergeCell ref="Q26:R26"/>
    <mergeCell ref="B22:C22"/>
    <mergeCell ref="D22:G22"/>
    <mergeCell ref="H22:J22"/>
    <mergeCell ref="K22:M22"/>
    <mergeCell ref="B21:C21"/>
    <mergeCell ref="D21:G21"/>
    <mergeCell ref="H21:J21"/>
    <mergeCell ref="K21:M21"/>
    <mergeCell ref="B24:C24"/>
    <mergeCell ref="K24:M24"/>
    <mergeCell ref="D24:G24"/>
    <mergeCell ref="H24:J24"/>
    <mergeCell ref="B23:C23"/>
    <mergeCell ref="D23:G23"/>
    <mergeCell ref="H23:J23"/>
    <mergeCell ref="K23:M23"/>
    <mergeCell ref="B20:C20"/>
    <mergeCell ref="D20:G20"/>
    <mergeCell ref="H20:J20"/>
    <mergeCell ref="K20:M20"/>
    <mergeCell ref="B8:D8"/>
    <mergeCell ref="B19:C19"/>
    <mergeCell ref="D19:G19"/>
    <mergeCell ref="H19:J19"/>
    <mergeCell ref="B12:D12"/>
    <mergeCell ref="B14:C14"/>
    <mergeCell ref="D14:G14"/>
    <mergeCell ref="H14:J14"/>
    <mergeCell ref="K14:M14"/>
    <mergeCell ref="B13:C13"/>
    <mergeCell ref="B1:U1"/>
    <mergeCell ref="B2:U3"/>
    <mergeCell ref="B4:U4"/>
    <mergeCell ref="E5:Q5"/>
    <mergeCell ref="B6:U6"/>
    <mergeCell ref="N9:Q9"/>
    <mergeCell ref="N10:Q10"/>
    <mergeCell ref="R9:U9"/>
    <mergeCell ref="R10:U10"/>
    <mergeCell ref="B9:E9"/>
    <mergeCell ref="B10:E10"/>
    <mergeCell ref="F9:I9"/>
    <mergeCell ref="F10:I10"/>
    <mergeCell ref="J9:M9"/>
    <mergeCell ref="J10:M10"/>
    <mergeCell ref="D13:G13"/>
    <mergeCell ref="H13:J13"/>
    <mergeCell ref="K13:M13"/>
    <mergeCell ref="B16:C16"/>
    <mergeCell ref="D16:G16"/>
    <mergeCell ref="H16:J16"/>
    <mergeCell ref="K16:M16"/>
    <mergeCell ref="B15:C15"/>
    <mergeCell ref="D15:G15"/>
    <mergeCell ref="H15:J15"/>
    <mergeCell ref="K15:M15"/>
    <mergeCell ref="K19:M19"/>
    <mergeCell ref="B18:C18"/>
    <mergeCell ref="D18:G18"/>
    <mergeCell ref="H18:J18"/>
    <mergeCell ref="K18:M18"/>
    <mergeCell ref="B17:C17"/>
    <mergeCell ref="D17:G17"/>
    <mergeCell ref="H17:J17"/>
    <mergeCell ref="K17:M17"/>
    <mergeCell ref="B31:C31"/>
    <mergeCell ref="D31:G31"/>
    <mergeCell ref="H31:J31"/>
    <mergeCell ref="K31:M31"/>
    <mergeCell ref="B32:C32"/>
    <mergeCell ref="D32:G32"/>
    <mergeCell ref="H32:J32"/>
    <mergeCell ref="K32:M32"/>
    <mergeCell ref="S32:U32"/>
    <mergeCell ref="D33:G33"/>
    <mergeCell ref="H33:J33"/>
    <mergeCell ref="K33:M33"/>
    <mergeCell ref="B34:C34"/>
    <mergeCell ref="D34:G34"/>
    <mergeCell ref="H34:J34"/>
    <mergeCell ref="K34:M34"/>
    <mergeCell ref="S33:U33"/>
    <mergeCell ref="N34:P34"/>
    <mergeCell ref="Q34:R34"/>
    <mergeCell ref="S34:U34"/>
    <mergeCell ref="S22:U22"/>
    <mergeCell ref="S23:U23"/>
    <mergeCell ref="S24:U24"/>
    <mergeCell ref="S25:U25"/>
    <mergeCell ref="S26:U26"/>
    <mergeCell ref="S27:U27"/>
    <mergeCell ref="S28:U28"/>
    <mergeCell ref="S42:U42"/>
    <mergeCell ref="Q13:R13"/>
    <mergeCell ref="Q14:R14"/>
    <mergeCell ref="Q24:R24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7:R27"/>
    <mergeCell ref="Q28:R28"/>
    <mergeCell ref="Q42:R4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42:P42"/>
    <mergeCell ref="N32:P32"/>
    <mergeCell ref="Q32:R32"/>
    <mergeCell ref="N33:P33"/>
    <mergeCell ref="Q33:R33"/>
    <mergeCell ref="B29:C29"/>
    <mergeCell ref="D29:G29"/>
    <mergeCell ref="H29:J29"/>
    <mergeCell ref="K29:M29"/>
    <mergeCell ref="N29:P29"/>
    <mergeCell ref="Q29:R29"/>
    <mergeCell ref="S29:U29"/>
    <mergeCell ref="B35:C35"/>
    <mergeCell ref="D35:G35"/>
    <mergeCell ref="H35:J35"/>
    <mergeCell ref="K35:M35"/>
    <mergeCell ref="N35:P35"/>
    <mergeCell ref="Q35:R35"/>
    <mergeCell ref="S35:U35"/>
    <mergeCell ref="D30:G30"/>
    <mergeCell ref="H30:J30"/>
    <mergeCell ref="K30:M30"/>
    <mergeCell ref="N30:P30"/>
    <mergeCell ref="Q30:R30"/>
    <mergeCell ref="S30:U30"/>
    <mergeCell ref="N31:P31"/>
    <mergeCell ref="Q31:R31"/>
    <mergeCell ref="S31:U31"/>
    <mergeCell ref="B33:C33"/>
    <mergeCell ref="B36:C36"/>
    <mergeCell ref="D36:G36"/>
    <mergeCell ref="H36:J36"/>
    <mergeCell ref="K36:M36"/>
    <mergeCell ref="N36:P36"/>
    <mergeCell ref="Q36:R36"/>
    <mergeCell ref="S36:U36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  <mergeCell ref="Q40:R40"/>
    <mergeCell ref="S40:U40"/>
    <mergeCell ref="B41:C41"/>
    <mergeCell ref="D41:G41"/>
    <mergeCell ref="H41:J41"/>
    <mergeCell ref="K41:M41"/>
    <mergeCell ref="N41:P41"/>
    <mergeCell ref="Q41:R41"/>
    <mergeCell ref="S41:U41"/>
  </mergeCells>
  <phoneticPr fontId="3"/>
  <pageMargins left="0.7" right="0.7" top="0.75" bottom="0.75" header="0.3" footer="0.3"/>
  <pageSetup paperSize="9"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06C2-99A0-4B95-9E03-6DAA0C716665}">
  <sheetPr>
    <pageSetUpPr fitToPage="1"/>
  </sheetPr>
  <dimension ref="B1:U42"/>
  <sheetViews>
    <sheetView view="pageBreakPreview" zoomScaleNormal="100" zoomScaleSheetLayoutView="100" workbookViewId="0">
      <selection activeCell="B2" sqref="B2:U3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45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19960000</v>
      </c>
      <c r="C10" s="97"/>
      <c r="D10" s="97"/>
      <c r="E10" s="97"/>
      <c r="F10" s="97">
        <v>20160000</v>
      </c>
      <c r="G10" s="97"/>
      <c r="H10" s="97"/>
      <c r="I10" s="97"/>
      <c r="J10" s="95">
        <f>IF(F10=0,"",B10/F10)</f>
        <v>0.99007936507936511</v>
      </c>
      <c r="K10" s="95"/>
      <c r="L10" s="95"/>
      <c r="M10" s="95"/>
      <c r="N10" s="95">
        <v>0.98</v>
      </c>
      <c r="O10" s="95"/>
      <c r="P10" s="95"/>
      <c r="Q10" s="95"/>
      <c r="R10" s="96" t="str">
        <f>IF(J10="","",IF(J10&gt;=1.05,"◎",IF(J10&gt;=1,"○",IF(J10&gt;=0.95,"△","×"))))</f>
        <v>△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108" t="s">
        <v>7</v>
      </c>
      <c r="O13" s="108"/>
      <c r="P13" s="108"/>
      <c r="Q13" s="108" t="s">
        <v>8</v>
      </c>
      <c r="R13" s="108"/>
      <c r="S13" s="108" t="s">
        <v>31</v>
      </c>
      <c r="T13" s="108"/>
      <c r="U13" s="108"/>
    </row>
    <row r="14" spans="2:21" x14ac:dyDescent="0.45">
      <c r="B14" s="91">
        <v>46208</v>
      </c>
      <c r="C14" s="91"/>
      <c r="D14" s="92" t="s">
        <v>47</v>
      </c>
      <c r="E14" s="92"/>
      <c r="F14" s="92"/>
      <c r="G14" s="92"/>
      <c r="H14" s="92" t="s">
        <v>39</v>
      </c>
      <c r="I14" s="92"/>
      <c r="J14" s="92"/>
      <c r="K14" s="84">
        <v>1800000</v>
      </c>
      <c r="L14" s="84"/>
      <c r="M14" s="84"/>
      <c r="N14" s="101">
        <v>504000</v>
      </c>
      <c r="O14" s="101"/>
      <c r="P14" s="101"/>
      <c r="Q14" s="102">
        <f t="shared" ref="Q14:Q28" si="0">IF(K14=0,"",N14/K14)</f>
        <v>0.28000000000000003</v>
      </c>
      <c r="R14" s="102"/>
      <c r="S14" s="103" t="s">
        <v>48</v>
      </c>
      <c r="T14" s="103"/>
      <c r="U14" s="103"/>
    </row>
    <row r="15" spans="2:21" x14ac:dyDescent="0.45">
      <c r="B15" s="89">
        <v>46215</v>
      </c>
      <c r="C15" s="89"/>
      <c r="D15" s="90" t="s">
        <v>49</v>
      </c>
      <c r="E15" s="90"/>
      <c r="F15" s="90"/>
      <c r="G15" s="90"/>
      <c r="H15" s="90" t="s">
        <v>50</v>
      </c>
      <c r="I15" s="90"/>
      <c r="J15" s="90"/>
      <c r="K15" s="85">
        <v>1500000</v>
      </c>
      <c r="L15" s="85"/>
      <c r="M15" s="85"/>
      <c r="N15" s="107">
        <v>420000</v>
      </c>
      <c r="O15" s="107"/>
      <c r="P15" s="107"/>
      <c r="Q15" s="99">
        <f t="shared" si="0"/>
        <v>0.28000000000000003</v>
      </c>
      <c r="R15" s="99"/>
      <c r="S15" s="100" t="s">
        <v>51</v>
      </c>
      <c r="T15" s="100"/>
      <c r="U15" s="100"/>
    </row>
    <row r="16" spans="2:21" x14ac:dyDescent="0.45">
      <c r="B16" s="91">
        <v>46221</v>
      </c>
      <c r="C16" s="91"/>
      <c r="D16" s="92" t="s">
        <v>52</v>
      </c>
      <c r="E16" s="92"/>
      <c r="F16" s="92"/>
      <c r="G16" s="92"/>
      <c r="H16" s="92" t="s">
        <v>53</v>
      </c>
      <c r="I16" s="92"/>
      <c r="J16" s="92"/>
      <c r="K16" s="84">
        <v>1330000</v>
      </c>
      <c r="L16" s="84"/>
      <c r="M16" s="84"/>
      <c r="N16" s="101">
        <v>372400</v>
      </c>
      <c r="O16" s="101"/>
      <c r="P16" s="101"/>
      <c r="Q16" s="102">
        <f t="shared" si="0"/>
        <v>0.28000000000000003</v>
      </c>
      <c r="R16" s="102"/>
      <c r="S16" s="103" t="s">
        <v>48</v>
      </c>
      <c r="T16" s="103"/>
      <c r="U16" s="103"/>
    </row>
    <row r="17" spans="2:21" x14ac:dyDescent="0.45">
      <c r="B17" s="89">
        <v>46228</v>
      </c>
      <c r="C17" s="89"/>
      <c r="D17" s="90" t="s">
        <v>54</v>
      </c>
      <c r="E17" s="90"/>
      <c r="F17" s="90"/>
      <c r="G17" s="90"/>
      <c r="H17" s="90" t="s">
        <v>41</v>
      </c>
      <c r="I17" s="90"/>
      <c r="J17" s="90"/>
      <c r="K17" s="85">
        <v>1200000</v>
      </c>
      <c r="L17" s="85"/>
      <c r="M17" s="85"/>
      <c r="N17" s="107">
        <v>336000</v>
      </c>
      <c r="O17" s="107"/>
      <c r="P17" s="107"/>
      <c r="Q17" s="99">
        <f t="shared" si="0"/>
        <v>0.28000000000000003</v>
      </c>
      <c r="R17" s="99"/>
      <c r="S17" s="100" t="s">
        <v>55</v>
      </c>
      <c r="T17" s="100"/>
      <c r="U17" s="100"/>
    </row>
    <row r="18" spans="2:21" x14ac:dyDescent="0.45">
      <c r="B18" s="91">
        <v>46233</v>
      </c>
      <c r="C18" s="91"/>
      <c r="D18" s="92" t="s">
        <v>56</v>
      </c>
      <c r="E18" s="92"/>
      <c r="F18" s="92"/>
      <c r="G18" s="92"/>
      <c r="H18" s="92" t="s">
        <v>44</v>
      </c>
      <c r="I18" s="92"/>
      <c r="J18" s="92"/>
      <c r="K18" s="84">
        <v>800000</v>
      </c>
      <c r="L18" s="84"/>
      <c r="M18" s="84"/>
      <c r="N18" s="101">
        <v>224600</v>
      </c>
      <c r="O18" s="101"/>
      <c r="P18" s="101"/>
      <c r="Q18" s="102">
        <f t="shared" si="0"/>
        <v>0.28075</v>
      </c>
      <c r="R18" s="102"/>
      <c r="S18" s="103" t="s">
        <v>51</v>
      </c>
      <c r="T18" s="103"/>
      <c r="U18" s="103"/>
    </row>
    <row r="19" spans="2:21" x14ac:dyDescent="0.45">
      <c r="B19" s="89">
        <v>46203</v>
      </c>
      <c r="C19" s="89"/>
      <c r="D19" s="90" t="s">
        <v>57</v>
      </c>
      <c r="E19" s="90"/>
      <c r="F19" s="90"/>
      <c r="G19" s="90"/>
      <c r="H19" s="90" t="s">
        <v>98</v>
      </c>
      <c r="I19" s="90"/>
      <c r="J19" s="90"/>
      <c r="K19" s="85">
        <v>1450000</v>
      </c>
      <c r="L19" s="85"/>
      <c r="M19" s="85"/>
      <c r="N19" s="107">
        <v>406000</v>
      </c>
      <c r="O19" s="107"/>
      <c r="P19" s="107"/>
      <c r="Q19" s="99">
        <f t="shared" si="0"/>
        <v>0.28000000000000003</v>
      </c>
      <c r="R19" s="99"/>
      <c r="S19" s="100" t="s">
        <v>48</v>
      </c>
      <c r="T19" s="100"/>
      <c r="U19" s="100"/>
    </row>
    <row r="20" spans="2:21" x14ac:dyDescent="0.45">
      <c r="B20" s="91">
        <v>46207</v>
      </c>
      <c r="C20" s="91"/>
      <c r="D20" s="92" t="s">
        <v>106</v>
      </c>
      <c r="E20" s="92"/>
      <c r="F20" s="92"/>
      <c r="G20" s="92"/>
      <c r="H20" s="92" t="s">
        <v>58</v>
      </c>
      <c r="I20" s="92"/>
      <c r="J20" s="92"/>
      <c r="K20" s="84">
        <v>2200000</v>
      </c>
      <c r="L20" s="84"/>
      <c r="M20" s="84"/>
      <c r="N20" s="101">
        <v>616000</v>
      </c>
      <c r="O20" s="101"/>
      <c r="P20" s="101"/>
      <c r="Q20" s="102">
        <f t="shared" si="0"/>
        <v>0.28000000000000003</v>
      </c>
      <c r="R20" s="102"/>
      <c r="S20" s="103" t="s">
        <v>51</v>
      </c>
      <c r="T20" s="103"/>
      <c r="U20" s="103"/>
    </row>
    <row r="21" spans="2:21" x14ac:dyDescent="0.45">
      <c r="B21" s="89">
        <v>46210</v>
      </c>
      <c r="C21" s="89"/>
      <c r="D21" s="90" t="s">
        <v>107</v>
      </c>
      <c r="E21" s="90"/>
      <c r="F21" s="90"/>
      <c r="G21" s="90"/>
      <c r="H21" s="90" t="s">
        <v>39</v>
      </c>
      <c r="I21" s="90"/>
      <c r="J21" s="90"/>
      <c r="K21" s="85">
        <v>1100000</v>
      </c>
      <c r="L21" s="85"/>
      <c r="M21" s="85"/>
      <c r="N21" s="107">
        <v>308000</v>
      </c>
      <c r="O21" s="107"/>
      <c r="P21" s="107"/>
      <c r="Q21" s="99">
        <f t="shared" si="0"/>
        <v>0.28000000000000003</v>
      </c>
      <c r="R21" s="99"/>
      <c r="S21" s="100" t="s">
        <v>55</v>
      </c>
      <c r="T21" s="100"/>
      <c r="U21" s="100"/>
    </row>
    <row r="22" spans="2:21" x14ac:dyDescent="0.45">
      <c r="B22" s="91">
        <v>46214</v>
      </c>
      <c r="C22" s="91"/>
      <c r="D22" s="92" t="s">
        <v>108</v>
      </c>
      <c r="E22" s="92"/>
      <c r="F22" s="92"/>
      <c r="G22" s="92"/>
      <c r="H22" s="92" t="s">
        <v>50</v>
      </c>
      <c r="I22" s="92"/>
      <c r="J22" s="92"/>
      <c r="K22" s="84">
        <v>950000</v>
      </c>
      <c r="L22" s="84"/>
      <c r="M22" s="84"/>
      <c r="N22" s="101">
        <v>266000</v>
      </c>
      <c r="O22" s="101"/>
      <c r="P22" s="101"/>
      <c r="Q22" s="102">
        <f t="shared" si="0"/>
        <v>0.28000000000000003</v>
      </c>
      <c r="R22" s="102"/>
      <c r="S22" s="103" t="s">
        <v>48</v>
      </c>
      <c r="T22" s="103"/>
      <c r="U22" s="103"/>
    </row>
    <row r="23" spans="2:21" x14ac:dyDescent="0.45">
      <c r="B23" s="89">
        <v>46217</v>
      </c>
      <c r="C23" s="89"/>
      <c r="D23" s="90" t="s">
        <v>109</v>
      </c>
      <c r="E23" s="90"/>
      <c r="F23" s="90"/>
      <c r="G23" s="90"/>
      <c r="H23" s="90" t="s">
        <v>41</v>
      </c>
      <c r="I23" s="90"/>
      <c r="J23" s="90"/>
      <c r="K23" s="85">
        <v>780000</v>
      </c>
      <c r="L23" s="85"/>
      <c r="M23" s="85"/>
      <c r="N23" s="107">
        <v>218400</v>
      </c>
      <c r="O23" s="107"/>
      <c r="P23" s="107"/>
      <c r="Q23" s="99">
        <f t="shared" si="0"/>
        <v>0.28000000000000003</v>
      </c>
      <c r="R23" s="99"/>
      <c r="S23" s="100" t="s">
        <v>51</v>
      </c>
      <c r="T23" s="100"/>
      <c r="U23" s="100"/>
    </row>
    <row r="24" spans="2:21" x14ac:dyDescent="0.45">
      <c r="B24" s="91">
        <v>46221</v>
      </c>
      <c r="C24" s="91"/>
      <c r="D24" s="92" t="s">
        <v>110</v>
      </c>
      <c r="E24" s="92"/>
      <c r="F24" s="92"/>
      <c r="G24" s="92"/>
      <c r="H24" s="92" t="s">
        <v>44</v>
      </c>
      <c r="I24" s="92"/>
      <c r="J24" s="92"/>
      <c r="K24" s="84">
        <v>1650000</v>
      </c>
      <c r="L24" s="84"/>
      <c r="M24" s="84"/>
      <c r="N24" s="101">
        <v>462000</v>
      </c>
      <c r="O24" s="101"/>
      <c r="P24" s="101"/>
      <c r="Q24" s="102">
        <f t="shared" si="0"/>
        <v>0.28000000000000003</v>
      </c>
      <c r="R24" s="102"/>
      <c r="S24" s="103" t="s">
        <v>55</v>
      </c>
      <c r="T24" s="103"/>
      <c r="U24" s="103"/>
    </row>
    <row r="25" spans="2:21" x14ac:dyDescent="0.45">
      <c r="B25" s="89">
        <v>46224</v>
      </c>
      <c r="C25" s="89"/>
      <c r="D25" s="90" t="s">
        <v>111</v>
      </c>
      <c r="E25" s="90"/>
      <c r="F25" s="90"/>
      <c r="G25" s="90"/>
      <c r="H25" s="90" t="s">
        <v>53</v>
      </c>
      <c r="I25" s="90"/>
      <c r="J25" s="90"/>
      <c r="K25" s="85">
        <v>1380000</v>
      </c>
      <c r="L25" s="85"/>
      <c r="M25" s="85"/>
      <c r="N25" s="107">
        <v>386400</v>
      </c>
      <c r="O25" s="107"/>
      <c r="P25" s="107"/>
      <c r="Q25" s="99">
        <f t="shared" si="0"/>
        <v>0.28000000000000003</v>
      </c>
      <c r="R25" s="99"/>
      <c r="S25" s="100" t="s">
        <v>48</v>
      </c>
      <c r="T25" s="100"/>
      <c r="U25" s="100"/>
    </row>
    <row r="26" spans="2:21" x14ac:dyDescent="0.45">
      <c r="B26" s="91">
        <v>46227</v>
      </c>
      <c r="C26" s="91"/>
      <c r="D26" s="92" t="s">
        <v>112</v>
      </c>
      <c r="E26" s="92"/>
      <c r="F26" s="92"/>
      <c r="G26" s="92"/>
      <c r="H26" s="92" t="s">
        <v>39</v>
      </c>
      <c r="I26" s="92"/>
      <c r="J26" s="92"/>
      <c r="K26" s="84">
        <v>920000</v>
      </c>
      <c r="L26" s="84"/>
      <c r="M26" s="84"/>
      <c r="N26" s="101">
        <v>257600</v>
      </c>
      <c r="O26" s="101"/>
      <c r="P26" s="101"/>
      <c r="Q26" s="102">
        <f t="shared" si="0"/>
        <v>0.28000000000000003</v>
      </c>
      <c r="R26" s="102"/>
      <c r="S26" s="103" t="s">
        <v>51</v>
      </c>
      <c r="T26" s="103"/>
      <c r="U26" s="103"/>
    </row>
    <row r="27" spans="2:21" x14ac:dyDescent="0.45">
      <c r="B27" s="89">
        <v>46230</v>
      </c>
      <c r="C27" s="89"/>
      <c r="D27" s="90" t="s">
        <v>113</v>
      </c>
      <c r="E27" s="90"/>
      <c r="F27" s="90"/>
      <c r="G27" s="90"/>
      <c r="H27" s="90" t="s">
        <v>50</v>
      </c>
      <c r="I27" s="90"/>
      <c r="J27" s="90"/>
      <c r="K27" s="85">
        <v>1050000</v>
      </c>
      <c r="L27" s="85"/>
      <c r="M27" s="85"/>
      <c r="N27" s="107">
        <v>294000</v>
      </c>
      <c r="O27" s="107"/>
      <c r="P27" s="107"/>
      <c r="Q27" s="99">
        <f t="shared" si="0"/>
        <v>0.28000000000000003</v>
      </c>
      <c r="R27" s="99"/>
      <c r="S27" s="100" t="s">
        <v>55</v>
      </c>
      <c r="T27" s="100"/>
      <c r="U27" s="100"/>
    </row>
    <row r="28" spans="2:21" x14ac:dyDescent="0.45">
      <c r="B28" s="91">
        <v>46233</v>
      </c>
      <c r="C28" s="91"/>
      <c r="D28" s="92" t="s">
        <v>114</v>
      </c>
      <c r="E28" s="92"/>
      <c r="F28" s="92"/>
      <c r="G28" s="92"/>
      <c r="H28" s="92" t="s">
        <v>58</v>
      </c>
      <c r="I28" s="92"/>
      <c r="J28" s="92"/>
      <c r="K28" s="84">
        <v>1850000</v>
      </c>
      <c r="L28" s="84"/>
      <c r="M28" s="84"/>
      <c r="N28" s="101">
        <v>518000</v>
      </c>
      <c r="O28" s="101"/>
      <c r="P28" s="101"/>
      <c r="Q28" s="102">
        <f t="shared" si="0"/>
        <v>0.28000000000000003</v>
      </c>
      <c r="R28" s="102"/>
      <c r="S28" s="103" t="s">
        <v>48</v>
      </c>
      <c r="T28" s="103"/>
      <c r="U28" s="103"/>
    </row>
    <row r="29" spans="2:2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SUM(K14:K28)</f>
        <v>19960000</v>
      </c>
      <c r="L42" s="39"/>
      <c r="M42" s="39"/>
      <c r="N42" s="104">
        <f>SUM(N14:N28)</f>
        <v>5589400</v>
      </c>
      <c r="O42" s="104"/>
      <c r="P42" s="104"/>
      <c r="Q42" s="105">
        <f>IF(K42=0,"",N42/K42)</f>
        <v>0.28003006012024045</v>
      </c>
      <c r="R42" s="105"/>
      <c r="S42" s="106"/>
      <c r="T42" s="106"/>
      <c r="U42" s="106"/>
    </row>
  </sheetData>
  <mergeCells count="227">
    <mergeCell ref="N27:P27"/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D42:G42"/>
    <mergeCell ref="H42:J42"/>
    <mergeCell ref="Q23:R23"/>
    <mergeCell ref="S23:U23"/>
    <mergeCell ref="N24:P24"/>
    <mergeCell ref="Q24:R24"/>
    <mergeCell ref="S24:U24"/>
    <mergeCell ref="B26:C26"/>
    <mergeCell ref="D26:G26"/>
    <mergeCell ref="H26:J26"/>
    <mergeCell ref="K26:M26"/>
    <mergeCell ref="B25:C25"/>
    <mergeCell ref="D25:G25"/>
    <mergeCell ref="H25:J25"/>
    <mergeCell ref="K25:M25"/>
    <mergeCell ref="N25:P25"/>
    <mergeCell ref="Q25:R25"/>
    <mergeCell ref="S25:U25"/>
    <mergeCell ref="N26:P26"/>
    <mergeCell ref="Q26:R26"/>
    <mergeCell ref="S26:U26"/>
    <mergeCell ref="B12:D12"/>
    <mergeCell ref="B14:C14"/>
    <mergeCell ref="D14:G14"/>
    <mergeCell ref="H14:J14"/>
    <mergeCell ref="K14:M14"/>
    <mergeCell ref="B13:C13"/>
    <mergeCell ref="B22:C22"/>
    <mergeCell ref="D22:G22"/>
    <mergeCell ref="H22:J22"/>
    <mergeCell ref="K22:M22"/>
    <mergeCell ref="B21:C21"/>
    <mergeCell ref="D21:G21"/>
    <mergeCell ref="H21:J21"/>
    <mergeCell ref="K21:M21"/>
    <mergeCell ref="B1:U1"/>
    <mergeCell ref="B2:U3"/>
    <mergeCell ref="B4:U4"/>
    <mergeCell ref="E5:Q5"/>
    <mergeCell ref="B6:U6"/>
    <mergeCell ref="N9:Q9"/>
    <mergeCell ref="N10:Q10"/>
    <mergeCell ref="R9:U9"/>
    <mergeCell ref="R10:U10"/>
    <mergeCell ref="B9:E9"/>
    <mergeCell ref="B10:E10"/>
    <mergeCell ref="F9:I9"/>
    <mergeCell ref="F10:I10"/>
    <mergeCell ref="J9:M9"/>
    <mergeCell ref="J10:M10"/>
    <mergeCell ref="B8:D8"/>
    <mergeCell ref="S19:U19"/>
    <mergeCell ref="D13:G13"/>
    <mergeCell ref="H13:J13"/>
    <mergeCell ref="K13:M13"/>
    <mergeCell ref="B16:C16"/>
    <mergeCell ref="D16:G16"/>
    <mergeCell ref="H16:J16"/>
    <mergeCell ref="K16:M16"/>
    <mergeCell ref="B15:C15"/>
    <mergeCell ref="D15:G15"/>
    <mergeCell ref="H15:J15"/>
    <mergeCell ref="K15:M15"/>
    <mergeCell ref="B19:C19"/>
    <mergeCell ref="D19:G19"/>
    <mergeCell ref="H19:J19"/>
    <mergeCell ref="B18:C18"/>
    <mergeCell ref="D18:G18"/>
    <mergeCell ref="H18:J18"/>
    <mergeCell ref="K18:M18"/>
    <mergeCell ref="B17:C17"/>
    <mergeCell ref="D17:G17"/>
    <mergeCell ref="H17:J17"/>
    <mergeCell ref="K17:M17"/>
    <mergeCell ref="Q19:R19"/>
    <mergeCell ref="Q33:R33"/>
    <mergeCell ref="S33:U33"/>
    <mergeCell ref="B30:C30"/>
    <mergeCell ref="D30:G30"/>
    <mergeCell ref="H30:J30"/>
    <mergeCell ref="K30:M30"/>
    <mergeCell ref="B31:C31"/>
    <mergeCell ref="D31:G31"/>
    <mergeCell ref="H31:J31"/>
    <mergeCell ref="K31:M31"/>
    <mergeCell ref="N19:P19"/>
    <mergeCell ref="B32:C32"/>
    <mergeCell ref="D32:G32"/>
    <mergeCell ref="H32:J32"/>
    <mergeCell ref="K32:M32"/>
    <mergeCell ref="B33:C33"/>
    <mergeCell ref="D33:G33"/>
    <mergeCell ref="H33:J33"/>
    <mergeCell ref="K33:M33"/>
    <mergeCell ref="N33:P33"/>
    <mergeCell ref="K19:M19"/>
    <mergeCell ref="B20:C20"/>
    <mergeCell ref="D20:G20"/>
    <mergeCell ref="H20:J20"/>
    <mergeCell ref="K20:M20"/>
    <mergeCell ref="B24:C24"/>
    <mergeCell ref="K24:M24"/>
    <mergeCell ref="D24:G24"/>
    <mergeCell ref="H24:J24"/>
    <mergeCell ref="B23:C23"/>
    <mergeCell ref="D23:G23"/>
    <mergeCell ref="H23:J23"/>
    <mergeCell ref="K23:M23"/>
    <mergeCell ref="N23:P23"/>
    <mergeCell ref="N16:P16"/>
    <mergeCell ref="Q16:R16"/>
    <mergeCell ref="S16:U16"/>
    <mergeCell ref="N17:P17"/>
    <mergeCell ref="Q17:R17"/>
    <mergeCell ref="S17:U17"/>
    <mergeCell ref="N18:P18"/>
    <mergeCell ref="Q18:R18"/>
    <mergeCell ref="S18:U18"/>
    <mergeCell ref="N13:P13"/>
    <mergeCell ref="Q13:R13"/>
    <mergeCell ref="S13:U13"/>
    <mergeCell ref="N14:P14"/>
    <mergeCell ref="Q14:R14"/>
    <mergeCell ref="S14:U14"/>
    <mergeCell ref="N15:P15"/>
    <mergeCell ref="Q15:R15"/>
    <mergeCell ref="S15:U15"/>
    <mergeCell ref="N20:P20"/>
    <mergeCell ref="Q20:R20"/>
    <mergeCell ref="S20:U20"/>
    <mergeCell ref="N21:P21"/>
    <mergeCell ref="Q21:R21"/>
    <mergeCell ref="S21:U21"/>
    <mergeCell ref="N22:P22"/>
    <mergeCell ref="Q22:R22"/>
    <mergeCell ref="S22:U22"/>
    <mergeCell ref="Q27:R27"/>
    <mergeCell ref="S27:U27"/>
    <mergeCell ref="N28:P28"/>
    <mergeCell ref="Q28:R28"/>
    <mergeCell ref="S28:U28"/>
    <mergeCell ref="N42:P42"/>
    <mergeCell ref="Q42:R42"/>
    <mergeCell ref="S42:U42"/>
    <mergeCell ref="B29:C29"/>
    <mergeCell ref="D29:G29"/>
    <mergeCell ref="H29:J29"/>
    <mergeCell ref="K29:M29"/>
    <mergeCell ref="N29:P29"/>
    <mergeCell ref="Q29:R29"/>
    <mergeCell ref="S29:U29"/>
    <mergeCell ref="N30:P30"/>
    <mergeCell ref="Q30:R30"/>
    <mergeCell ref="S30:U30"/>
    <mergeCell ref="N31:P31"/>
    <mergeCell ref="Q31:R31"/>
    <mergeCell ref="S31:U31"/>
    <mergeCell ref="N32:P32"/>
    <mergeCell ref="Q32:R32"/>
    <mergeCell ref="S32:U32"/>
    <mergeCell ref="D34:G34"/>
    <mergeCell ref="H34:J34"/>
    <mergeCell ref="N34:P34"/>
    <mergeCell ref="Q34:R34"/>
    <mergeCell ref="S34:U34"/>
    <mergeCell ref="B35:C35"/>
    <mergeCell ref="D35:G35"/>
    <mergeCell ref="H35:J35"/>
    <mergeCell ref="K35:M35"/>
    <mergeCell ref="N35:P35"/>
    <mergeCell ref="Q35:R35"/>
    <mergeCell ref="S35:U35"/>
    <mergeCell ref="B34:C34"/>
    <mergeCell ref="K34:M34"/>
    <mergeCell ref="B36:C36"/>
    <mergeCell ref="D36:G36"/>
    <mergeCell ref="H36:J36"/>
    <mergeCell ref="K36:M36"/>
    <mergeCell ref="N36:P36"/>
    <mergeCell ref="Q36:R36"/>
    <mergeCell ref="S36:U36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  <mergeCell ref="Q40:R40"/>
    <mergeCell ref="S40:U40"/>
    <mergeCell ref="B41:C41"/>
    <mergeCell ref="D41:G41"/>
    <mergeCell ref="H41:J41"/>
    <mergeCell ref="K41:M41"/>
    <mergeCell ref="N41:P41"/>
    <mergeCell ref="Q41:R41"/>
    <mergeCell ref="S41:U41"/>
  </mergeCells>
  <phoneticPr fontId="3"/>
  <pageMargins left="0.7" right="0.7" top="0.75" bottom="0.75" header="0.3" footer="0.3"/>
  <pageSetup paperSize="9"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F8A1-C929-43D3-9FDC-B9FCC5713BD7}">
  <sheetPr>
    <pageSetUpPr fitToPage="1"/>
  </sheetPr>
  <dimension ref="B1:U42"/>
  <sheetViews>
    <sheetView view="pageBreakPreview" zoomScaleNormal="100" zoomScaleSheetLayoutView="100" workbookViewId="0">
      <selection activeCell="F10" sqref="F10:I10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46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21880000</v>
      </c>
      <c r="C10" s="97"/>
      <c r="D10" s="97"/>
      <c r="E10" s="97"/>
      <c r="F10" s="97">
        <v>21300000</v>
      </c>
      <c r="G10" s="97"/>
      <c r="H10" s="97"/>
      <c r="I10" s="97"/>
      <c r="J10" s="95">
        <f>IF(F10=0,"",B10/F10)</f>
        <v>1.0272300469483568</v>
      </c>
      <c r="K10" s="95"/>
      <c r="L10" s="95"/>
      <c r="M10" s="95"/>
      <c r="N10" s="95">
        <v>1.08</v>
      </c>
      <c r="O10" s="95"/>
      <c r="P10" s="95"/>
      <c r="Q10" s="95"/>
      <c r="R10" s="96" t="str">
        <f>IF(J10="","",IF(J10&gt;=1.05,"◎",IF(J10&gt;=1,"○",IF(J10&gt;=0.95,"△","×"))))</f>
        <v>○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108" t="s">
        <v>7</v>
      </c>
      <c r="O13" s="108"/>
      <c r="P13" s="108"/>
      <c r="Q13" s="108" t="s">
        <v>8</v>
      </c>
      <c r="R13" s="108"/>
      <c r="S13" s="108" t="s">
        <v>31</v>
      </c>
      <c r="T13" s="108"/>
      <c r="U13" s="108"/>
    </row>
    <row r="14" spans="2:21" x14ac:dyDescent="0.45">
      <c r="B14" s="91">
        <v>46205</v>
      </c>
      <c r="C14" s="91"/>
      <c r="D14" s="92" t="s">
        <v>57</v>
      </c>
      <c r="E14" s="92"/>
      <c r="F14" s="92"/>
      <c r="G14" s="92"/>
      <c r="H14" s="92" t="s">
        <v>58</v>
      </c>
      <c r="I14" s="92"/>
      <c r="J14" s="92"/>
      <c r="K14" s="84">
        <v>2200000</v>
      </c>
      <c r="L14" s="84"/>
      <c r="M14" s="84"/>
      <c r="N14" s="101">
        <v>660000</v>
      </c>
      <c r="O14" s="101"/>
      <c r="P14" s="101"/>
      <c r="Q14" s="102">
        <f t="shared" ref="Q14:Q28" si="0">IF(K14=0,"",N14/K14)</f>
        <v>0.3</v>
      </c>
      <c r="R14" s="102"/>
      <c r="S14" s="103" t="s">
        <v>59</v>
      </c>
      <c r="T14" s="103"/>
      <c r="U14" s="103"/>
    </row>
    <row r="15" spans="2:21" x14ac:dyDescent="0.45">
      <c r="B15" s="89">
        <v>46213</v>
      </c>
      <c r="C15" s="89"/>
      <c r="D15" s="90" t="s">
        <v>60</v>
      </c>
      <c r="E15" s="90"/>
      <c r="F15" s="90"/>
      <c r="G15" s="90"/>
      <c r="H15" s="90" t="s">
        <v>39</v>
      </c>
      <c r="I15" s="90"/>
      <c r="J15" s="90"/>
      <c r="K15" s="85">
        <v>1600000</v>
      </c>
      <c r="L15" s="85"/>
      <c r="M15" s="85"/>
      <c r="N15" s="107">
        <v>480000</v>
      </c>
      <c r="O15" s="107"/>
      <c r="P15" s="107"/>
      <c r="Q15" s="99">
        <f t="shared" si="0"/>
        <v>0.3</v>
      </c>
      <c r="R15" s="99"/>
      <c r="S15" s="100" t="s">
        <v>61</v>
      </c>
      <c r="T15" s="100"/>
      <c r="U15" s="100"/>
    </row>
    <row r="16" spans="2:21" x14ac:dyDescent="0.45">
      <c r="B16" s="91">
        <v>46219</v>
      </c>
      <c r="C16" s="91"/>
      <c r="D16" s="92" t="s">
        <v>62</v>
      </c>
      <c r="E16" s="92"/>
      <c r="F16" s="92"/>
      <c r="G16" s="92"/>
      <c r="H16" s="92" t="s">
        <v>50</v>
      </c>
      <c r="I16" s="92"/>
      <c r="J16" s="92"/>
      <c r="K16" s="84">
        <v>1400000</v>
      </c>
      <c r="L16" s="84"/>
      <c r="M16" s="84"/>
      <c r="N16" s="101">
        <v>420000</v>
      </c>
      <c r="O16" s="101"/>
      <c r="P16" s="101"/>
      <c r="Q16" s="102">
        <f t="shared" si="0"/>
        <v>0.3</v>
      </c>
      <c r="R16" s="102"/>
      <c r="S16" s="103" t="s">
        <v>59</v>
      </c>
      <c r="T16" s="103"/>
      <c r="U16" s="103"/>
    </row>
    <row r="17" spans="2:21" x14ac:dyDescent="0.45">
      <c r="B17" s="89">
        <v>46226</v>
      </c>
      <c r="C17" s="89"/>
      <c r="D17" s="90" t="s">
        <v>63</v>
      </c>
      <c r="E17" s="90"/>
      <c r="F17" s="90"/>
      <c r="G17" s="90"/>
      <c r="H17" s="90" t="s">
        <v>53</v>
      </c>
      <c r="I17" s="90"/>
      <c r="J17" s="90"/>
      <c r="K17" s="85">
        <v>1500000</v>
      </c>
      <c r="L17" s="85"/>
      <c r="M17" s="85"/>
      <c r="N17" s="107">
        <v>450000</v>
      </c>
      <c r="O17" s="107"/>
      <c r="P17" s="107"/>
      <c r="Q17" s="99">
        <f t="shared" si="0"/>
        <v>0.3</v>
      </c>
      <c r="R17" s="99"/>
      <c r="S17" s="100" t="s">
        <v>64</v>
      </c>
      <c r="T17" s="100"/>
      <c r="U17" s="100"/>
    </row>
    <row r="18" spans="2:21" x14ac:dyDescent="0.45">
      <c r="B18" s="91">
        <v>46232</v>
      </c>
      <c r="C18" s="91"/>
      <c r="D18" s="92" t="s">
        <v>65</v>
      </c>
      <c r="E18" s="92"/>
      <c r="F18" s="92"/>
      <c r="G18" s="92"/>
      <c r="H18" s="92" t="s">
        <v>41</v>
      </c>
      <c r="I18" s="92"/>
      <c r="J18" s="92"/>
      <c r="K18" s="84">
        <v>1000000</v>
      </c>
      <c r="L18" s="84"/>
      <c r="M18" s="84"/>
      <c r="N18" s="101">
        <v>300000</v>
      </c>
      <c r="O18" s="101"/>
      <c r="P18" s="101"/>
      <c r="Q18" s="102">
        <f t="shared" si="0"/>
        <v>0.3</v>
      </c>
      <c r="R18" s="102"/>
      <c r="S18" s="103" t="s">
        <v>61</v>
      </c>
      <c r="T18" s="103"/>
      <c r="U18" s="103"/>
    </row>
    <row r="19" spans="2:21" x14ac:dyDescent="0.45">
      <c r="B19" s="89">
        <v>46204</v>
      </c>
      <c r="C19" s="89"/>
      <c r="D19" s="90" t="s">
        <v>115</v>
      </c>
      <c r="E19" s="90"/>
      <c r="F19" s="90"/>
      <c r="G19" s="90"/>
      <c r="H19" s="90" t="s">
        <v>39</v>
      </c>
      <c r="I19" s="90"/>
      <c r="J19" s="90"/>
      <c r="K19" s="85">
        <v>1550000</v>
      </c>
      <c r="L19" s="85"/>
      <c r="M19" s="85"/>
      <c r="N19" s="107">
        <v>465000</v>
      </c>
      <c r="O19" s="107"/>
      <c r="P19" s="107"/>
      <c r="Q19" s="99">
        <f t="shared" si="0"/>
        <v>0.3</v>
      </c>
      <c r="R19" s="99"/>
      <c r="S19" s="100" t="s">
        <v>59</v>
      </c>
      <c r="T19" s="100"/>
      <c r="U19" s="100"/>
    </row>
    <row r="20" spans="2:21" x14ac:dyDescent="0.45">
      <c r="B20" s="91">
        <v>46208</v>
      </c>
      <c r="C20" s="91"/>
      <c r="D20" s="92" t="s">
        <v>116</v>
      </c>
      <c r="E20" s="92"/>
      <c r="F20" s="92"/>
      <c r="G20" s="92"/>
      <c r="H20" s="92" t="s">
        <v>50</v>
      </c>
      <c r="I20" s="92"/>
      <c r="J20" s="92"/>
      <c r="K20" s="84">
        <v>1100000</v>
      </c>
      <c r="L20" s="84"/>
      <c r="M20" s="84"/>
      <c r="N20" s="101">
        <v>330000</v>
      </c>
      <c r="O20" s="101"/>
      <c r="P20" s="101"/>
      <c r="Q20" s="102">
        <f t="shared" si="0"/>
        <v>0.3</v>
      </c>
      <c r="R20" s="102"/>
      <c r="S20" s="103" t="s">
        <v>61</v>
      </c>
      <c r="T20" s="103"/>
      <c r="U20" s="103"/>
    </row>
    <row r="21" spans="2:21" x14ac:dyDescent="0.45">
      <c r="B21" s="89">
        <v>46212</v>
      </c>
      <c r="C21" s="89"/>
      <c r="D21" s="90" t="s">
        <v>117</v>
      </c>
      <c r="E21" s="90"/>
      <c r="F21" s="90"/>
      <c r="G21" s="90"/>
      <c r="H21" s="90" t="s">
        <v>98</v>
      </c>
      <c r="I21" s="90"/>
      <c r="J21" s="90"/>
      <c r="K21" s="85">
        <v>1900000</v>
      </c>
      <c r="L21" s="85"/>
      <c r="M21" s="85"/>
      <c r="N21" s="107">
        <v>570000</v>
      </c>
      <c r="O21" s="107"/>
      <c r="P21" s="107"/>
      <c r="Q21" s="99">
        <f t="shared" si="0"/>
        <v>0.3</v>
      </c>
      <c r="R21" s="99"/>
      <c r="S21" s="100" t="s">
        <v>64</v>
      </c>
      <c r="T21" s="100"/>
      <c r="U21" s="100"/>
    </row>
    <row r="22" spans="2:21" x14ac:dyDescent="0.45">
      <c r="B22" s="91">
        <v>46215</v>
      </c>
      <c r="C22" s="91"/>
      <c r="D22" s="92" t="s">
        <v>118</v>
      </c>
      <c r="E22" s="92"/>
      <c r="F22" s="92"/>
      <c r="G22" s="92"/>
      <c r="H22" s="92" t="s">
        <v>41</v>
      </c>
      <c r="I22" s="92"/>
      <c r="J22" s="92"/>
      <c r="K22" s="84">
        <v>1250000</v>
      </c>
      <c r="L22" s="84"/>
      <c r="M22" s="84"/>
      <c r="N22" s="101">
        <v>375000</v>
      </c>
      <c r="O22" s="101"/>
      <c r="P22" s="101"/>
      <c r="Q22" s="102">
        <f t="shared" si="0"/>
        <v>0.3</v>
      </c>
      <c r="R22" s="102"/>
      <c r="S22" s="103" t="s">
        <v>59</v>
      </c>
      <c r="T22" s="103"/>
      <c r="U22" s="103"/>
    </row>
    <row r="23" spans="2:21" x14ac:dyDescent="0.45">
      <c r="B23" s="89">
        <v>46219</v>
      </c>
      <c r="C23" s="89"/>
      <c r="D23" s="90" t="s">
        <v>119</v>
      </c>
      <c r="E23" s="90"/>
      <c r="F23" s="90"/>
      <c r="G23" s="90"/>
      <c r="H23" s="90" t="s">
        <v>44</v>
      </c>
      <c r="I23" s="90"/>
      <c r="J23" s="90"/>
      <c r="K23" s="85">
        <v>850000</v>
      </c>
      <c r="L23" s="85"/>
      <c r="M23" s="85"/>
      <c r="N23" s="107">
        <v>255000</v>
      </c>
      <c r="O23" s="107"/>
      <c r="P23" s="107"/>
      <c r="Q23" s="99">
        <f t="shared" si="0"/>
        <v>0.3</v>
      </c>
      <c r="R23" s="99"/>
      <c r="S23" s="100" t="s">
        <v>61</v>
      </c>
      <c r="T23" s="100"/>
      <c r="U23" s="100"/>
    </row>
    <row r="24" spans="2:21" x14ac:dyDescent="0.45">
      <c r="B24" s="91">
        <v>46222</v>
      </c>
      <c r="C24" s="91"/>
      <c r="D24" s="92" t="s">
        <v>120</v>
      </c>
      <c r="E24" s="92"/>
      <c r="F24" s="92"/>
      <c r="G24" s="92"/>
      <c r="H24" s="92" t="s">
        <v>58</v>
      </c>
      <c r="I24" s="92"/>
      <c r="J24" s="92"/>
      <c r="K24" s="84">
        <v>2400000</v>
      </c>
      <c r="L24" s="84"/>
      <c r="M24" s="84"/>
      <c r="N24" s="101">
        <v>720000</v>
      </c>
      <c r="O24" s="101"/>
      <c r="P24" s="101"/>
      <c r="Q24" s="102">
        <f t="shared" si="0"/>
        <v>0.3</v>
      </c>
      <c r="R24" s="102"/>
      <c r="S24" s="103" t="s">
        <v>64</v>
      </c>
      <c r="T24" s="103"/>
      <c r="U24" s="103"/>
    </row>
    <row r="25" spans="2:21" x14ac:dyDescent="0.45">
      <c r="B25" s="89">
        <v>46225</v>
      </c>
      <c r="C25" s="89"/>
      <c r="D25" s="90" t="s">
        <v>121</v>
      </c>
      <c r="E25" s="90"/>
      <c r="F25" s="90"/>
      <c r="G25" s="90"/>
      <c r="H25" s="90" t="s">
        <v>39</v>
      </c>
      <c r="I25" s="90"/>
      <c r="J25" s="90"/>
      <c r="K25" s="85">
        <v>1350000</v>
      </c>
      <c r="L25" s="85"/>
      <c r="M25" s="85"/>
      <c r="N25" s="107">
        <v>405000</v>
      </c>
      <c r="O25" s="107"/>
      <c r="P25" s="107"/>
      <c r="Q25" s="99">
        <f t="shared" si="0"/>
        <v>0.3</v>
      </c>
      <c r="R25" s="99"/>
      <c r="S25" s="100" t="s">
        <v>59</v>
      </c>
      <c r="T25" s="100"/>
      <c r="U25" s="100"/>
    </row>
    <row r="26" spans="2:21" x14ac:dyDescent="0.45">
      <c r="B26" s="91">
        <v>46228</v>
      </c>
      <c r="C26" s="91"/>
      <c r="D26" s="92" t="s">
        <v>122</v>
      </c>
      <c r="E26" s="92"/>
      <c r="F26" s="92"/>
      <c r="G26" s="92"/>
      <c r="H26" s="92" t="s">
        <v>50</v>
      </c>
      <c r="I26" s="92"/>
      <c r="J26" s="92"/>
      <c r="K26" s="84">
        <v>980000</v>
      </c>
      <c r="L26" s="84"/>
      <c r="M26" s="84"/>
      <c r="N26" s="101">
        <v>294000</v>
      </c>
      <c r="O26" s="101"/>
      <c r="P26" s="101"/>
      <c r="Q26" s="102">
        <f t="shared" si="0"/>
        <v>0.3</v>
      </c>
      <c r="R26" s="102"/>
      <c r="S26" s="103" t="s">
        <v>61</v>
      </c>
      <c r="T26" s="103"/>
      <c r="U26" s="103"/>
    </row>
    <row r="27" spans="2:21" x14ac:dyDescent="0.45">
      <c r="B27" s="89">
        <v>46231</v>
      </c>
      <c r="C27" s="89"/>
      <c r="D27" s="90" t="s">
        <v>123</v>
      </c>
      <c r="E27" s="90"/>
      <c r="F27" s="90"/>
      <c r="G27" s="90"/>
      <c r="H27" s="90" t="s">
        <v>53</v>
      </c>
      <c r="I27" s="90"/>
      <c r="J27" s="90"/>
      <c r="K27" s="85">
        <v>1620000</v>
      </c>
      <c r="L27" s="85"/>
      <c r="M27" s="85"/>
      <c r="N27" s="107">
        <v>486000</v>
      </c>
      <c r="O27" s="107"/>
      <c r="P27" s="107"/>
      <c r="Q27" s="99">
        <f t="shared" si="0"/>
        <v>0.3</v>
      </c>
      <c r="R27" s="99"/>
      <c r="S27" s="100" t="s">
        <v>64</v>
      </c>
      <c r="T27" s="100"/>
      <c r="U27" s="100"/>
    </row>
    <row r="28" spans="2:21" x14ac:dyDescent="0.45">
      <c r="B28" s="91">
        <v>46234</v>
      </c>
      <c r="C28" s="91"/>
      <c r="D28" s="92" t="s">
        <v>124</v>
      </c>
      <c r="E28" s="92"/>
      <c r="F28" s="92"/>
      <c r="G28" s="92"/>
      <c r="H28" s="92" t="s">
        <v>44</v>
      </c>
      <c r="I28" s="92"/>
      <c r="J28" s="92"/>
      <c r="K28" s="84">
        <v>1180000</v>
      </c>
      <c r="L28" s="84"/>
      <c r="M28" s="84"/>
      <c r="N28" s="101">
        <v>354000</v>
      </c>
      <c r="O28" s="101"/>
      <c r="P28" s="101"/>
      <c r="Q28" s="102">
        <f t="shared" si="0"/>
        <v>0.3</v>
      </c>
      <c r="R28" s="102"/>
      <c r="S28" s="103" t="s">
        <v>59</v>
      </c>
      <c r="T28" s="103"/>
      <c r="U28" s="103"/>
    </row>
    <row r="29" spans="2:2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SUM(K14:K28)</f>
        <v>21880000</v>
      </c>
      <c r="L42" s="39"/>
      <c r="M42" s="39"/>
      <c r="N42" s="104">
        <f>SUM(N14:N28)</f>
        <v>6564000</v>
      </c>
      <c r="O42" s="104"/>
      <c r="P42" s="104"/>
      <c r="Q42" s="105">
        <f>IF(K42=0,"",N42/K42)</f>
        <v>0.3</v>
      </c>
      <c r="R42" s="105"/>
      <c r="S42" s="106"/>
      <c r="T42" s="106"/>
      <c r="U42" s="106"/>
    </row>
  </sheetData>
  <mergeCells count="227">
    <mergeCell ref="N27:P27"/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D42:G42"/>
    <mergeCell ref="H42:J42"/>
    <mergeCell ref="Q23:R23"/>
    <mergeCell ref="S23:U23"/>
    <mergeCell ref="N24:P24"/>
    <mergeCell ref="Q24:R24"/>
    <mergeCell ref="S24:U24"/>
    <mergeCell ref="B26:C26"/>
    <mergeCell ref="D26:G26"/>
    <mergeCell ref="H26:J26"/>
    <mergeCell ref="K26:M26"/>
    <mergeCell ref="B25:C25"/>
    <mergeCell ref="D25:G25"/>
    <mergeCell ref="H25:J25"/>
    <mergeCell ref="K25:M25"/>
    <mergeCell ref="N25:P25"/>
    <mergeCell ref="Q25:R25"/>
    <mergeCell ref="S25:U25"/>
    <mergeCell ref="N26:P26"/>
    <mergeCell ref="Q26:R26"/>
    <mergeCell ref="S26:U26"/>
    <mergeCell ref="B12:D12"/>
    <mergeCell ref="B14:C14"/>
    <mergeCell ref="D14:G14"/>
    <mergeCell ref="H14:J14"/>
    <mergeCell ref="K14:M14"/>
    <mergeCell ref="B13:C13"/>
    <mergeCell ref="B22:C22"/>
    <mergeCell ref="D22:G22"/>
    <mergeCell ref="H22:J22"/>
    <mergeCell ref="K22:M22"/>
    <mergeCell ref="B21:C21"/>
    <mergeCell ref="D21:G21"/>
    <mergeCell ref="H21:J21"/>
    <mergeCell ref="K21:M21"/>
    <mergeCell ref="B1:U1"/>
    <mergeCell ref="B2:U3"/>
    <mergeCell ref="B4:U4"/>
    <mergeCell ref="E5:Q5"/>
    <mergeCell ref="B6:U6"/>
    <mergeCell ref="N9:Q9"/>
    <mergeCell ref="N10:Q10"/>
    <mergeCell ref="R9:U9"/>
    <mergeCell ref="R10:U10"/>
    <mergeCell ref="B9:E9"/>
    <mergeCell ref="B10:E10"/>
    <mergeCell ref="F9:I9"/>
    <mergeCell ref="F10:I10"/>
    <mergeCell ref="J9:M9"/>
    <mergeCell ref="J10:M10"/>
    <mergeCell ref="B8:D8"/>
    <mergeCell ref="S19:U19"/>
    <mergeCell ref="D13:G13"/>
    <mergeCell ref="H13:J13"/>
    <mergeCell ref="K13:M13"/>
    <mergeCell ref="B16:C16"/>
    <mergeCell ref="D16:G16"/>
    <mergeCell ref="H16:J16"/>
    <mergeCell ref="K16:M16"/>
    <mergeCell ref="B15:C15"/>
    <mergeCell ref="D15:G15"/>
    <mergeCell ref="H15:J15"/>
    <mergeCell ref="K15:M15"/>
    <mergeCell ref="B19:C19"/>
    <mergeCell ref="D19:G19"/>
    <mergeCell ref="H19:J19"/>
    <mergeCell ref="B18:C18"/>
    <mergeCell ref="D18:G18"/>
    <mergeCell ref="H18:J18"/>
    <mergeCell ref="K18:M18"/>
    <mergeCell ref="B17:C17"/>
    <mergeCell ref="D17:G17"/>
    <mergeCell ref="H17:J17"/>
    <mergeCell ref="K17:M17"/>
    <mergeCell ref="Q19:R19"/>
    <mergeCell ref="Q33:R33"/>
    <mergeCell ref="S33:U33"/>
    <mergeCell ref="B30:C30"/>
    <mergeCell ref="D30:G30"/>
    <mergeCell ref="H30:J30"/>
    <mergeCell ref="K30:M30"/>
    <mergeCell ref="B31:C31"/>
    <mergeCell ref="D31:G31"/>
    <mergeCell ref="H31:J31"/>
    <mergeCell ref="K31:M31"/>
    <mergeCell ref="N19:P19"/>
    <mergeCell ref="B32:C32"/>
    <mergeCell ref="D32:G32"/>
    <mergeCell ref="H32:J32"/>
    <mergeCell ref="K32:M32"/>
    <mergeCell ref="B33:C33"/>
    <mergeCell ref="D33:G33"/>
    <mergeCell ref="H33:J33"/>
    <mergeCell ref="K33:M33"/>
    <mergeCell ref="N33:P33"/>
    <mergeCell ref="K19:M19"/>
    <mergeCell ref="B20:C20"/>
    <mergeCell ref="D20:G20"/>
    <mergeCell ref="H20:J20"/>
    <mergeCell ref="K20:M20"/>
    <mergeCell ref="B24:C24"/>
    <mergeCell ref="K24:M24"/>
    <mergeCell ref="D24:G24"/>
    <mergeCell ref="H24:J24"/>
    <mergeCell ref="B23:C23"/>
    <mergeCell ref="D23:G23"/>
    <mergeCell ref="H23:J23"/>
    <mergeCell ref="K23:M23"/>
    <mergeCell ref="N23:P23"/>
    <mergeCell ref="N16:P16"/>
    <mergeCell ref="Q16:R16"/>
    <mergeCell ref="S16:U16"/>
    <mergeCell ref="N17:P17"/>
    <mergeCell ref="Q17:R17"/>
    <mergeCell ref="S17:U17"/>
    <mergeCell ref="N18:P18"/>
    <mergeCell ref="Q18:R18"/>
    <mergeCell ref="S18:U18"/>
    <mergeCell ref="N13:P13"/>
    <mergeCell ref="Q13:R13"/>
    <mergeCell ref="S13:U13"/>
    <mergeCell ref="N14:P14"/>
    <mergeCell ref="Q14:R14"/>
    <mergeCell ref="S14:U14"/>
    <mergeCell ref="N15:P15"/>
    <mergeCell ref="Q15:R15"/>
    <mergeCell ref="S15:U15"/>
    <mergeCell ref="N20:P20"/>
    <mergeCell ref="Q20:R20"/>
    <mergeCell ref="S20:U20"/>
    <mergeCell ref="N21:P21"/>
    <mergeCell ref="Q21:R21"/>
    <mergeCell ref="S21:U21"/>
    <mergeCell ref="N22:P22"/>
    <mergeCell ref="Q22:R22"/>
    <mergeCell ref="S22:U22"/>
    <mergeCell ref="Q27:R27"/>
    <mergeCell ref="S27:U27"/>
    <mergeCell ref="N28:P28"/>
    <mergeCell ref="Q28:R28"/>
    <mergeCell ref="S28:U28"/>
    <mergeCell ref="N42:P42"/>
    <mergeCell ref="Q42:R42"/>
    <mergeCell ref="S42:U42"/>
    <mergeCell ref="B29:C29"/>
    <mergeCell ref="D29:G29"/>
    <mergeCell ref="H29:J29"/>
    <mergeCell ref="K29:M29"/>
    <mergeCell ref="N29:P29"/>
    <mergeCell ref="Q29:R29"/>
    <mergeCell ref="S29:U29"/>
    <mergeCell ref="N30:P30"/>
    <mergeCell ref="Q30:R30"/>
    <mergeCell ref="S30:U30"/>
    <mergeCell ref="N31:P31"/>
    <mergeCell ref="Q31:R31"/>
    <mergeCell ref="S31:U31"/>
    <mergeCell ref="N32:P32"/>
    <mergeCell ref="Q32:R32"/>
    <mergeCell ref="S32:U32"/>
    <mergeCell ref="D34:G34"/>
    <mergeCell ref="H34:J34"/>
    <mergeCell ref="N34:P34"/>
    <mergeCell ref="Q34:R34"/>
    <mergeCell ref="S34:U34"/>
    <mergeCell ref="B35:C35"/>
    <mergeCell ref="D35:G35"/>
    <mergeCell ref="H35:J35"/>
    <mergeCell ref="K35:M35"/>
    <mergeCell ref="N35:P35"/>
    <mergeCell ref="Q35:R35"/>
    <mergeCell ref="S35:U35"/>
    <mergeCell ref="B34:C34"/>
    <mergeCell ref="K34:M34"/>
    <mergeCell ref="B36:C36"/>
    <mergeCell ref="D36:G36"/>
    <mergeCell ref="H36:J36"/>
    <mergeCell ref="K36:M36"/>
    <mergeCell ref="N36:P36"/>
    <mergeCell ref="Q36:R36"/>
    <mergeCell ref="S36:U36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  <mergeCell ref="Q40:R40"/>
    <mergeCell ref="S40:U40"/>
    <mergeCell ref="B41:C41"/>
    <mergeCell ref="D41:G41"/>
    <mergeCell ref="H41:J41"/>
    <mergeCell ref="K41:M41"/>
    <mergeCell ref="N41:P41"/>
    <mergeCell ref="Q41:R41"/>
    <mergeCell ref="S41:U41"/>
  </mergeCells>
  <phoneticPr fontId="3"/>
  <pageMargins left="0.7" right="0.7" top="0.75" bottom="0.75" header="0.3" footer="0.3"/>
  <pageSetup paperSize="9" scale="8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4C61-F843-4EB4-B82C-5C39E9E7E33E}">
  <sheetPr>
    <pageSetUpPr fitToPage="1"/>
  </sheetPr>
  <dimension ref="B1:U42"/>
  <sheetViews>
    <sheetView view="pageBreakPreview" zoomScaleNormal="100" zoomScaleSheetLayoutView="100" workbookViewId="0">
      <selection activeCell="B2" sqref="B2:U3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66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36500000</v>
      </c>
      <c r="C10" s="97"/>
      <c r="D10" s="97"/>
      <c r="E10" s="97"/>
      <c r="F10" s="97">
        <v>35030000</v>
      </c>
      <c r="G10" s="97"/>
      <c r="H10" s="97"/>
      <c r="I10" s="97"/>
      <c r="J10" s="95">
        <f>IF(F10=0,"",B10/F10)</f>
        <v>1.0419640308307165</v>
      </c>
      <c r="K10" s="95"/>
      <c r="L10" s="95"/>
      <c r="M10" s="95"/>
      <c r="N10" s="95">
        <v>1.1200000000000001</v>
      </c>
      <c r="O10" s="95"/>
      <c r="P10" s="95"/>
      <c r="Q10" s="95"/>
      <c r="R10" s="96" t="str">
        <f>IF(J10="","",IF(J10&gt;=1.05,"◎",IF(J10&gt;=1,"○",IF(J10&gt;=0.95,"△","×"))))</f>
        <v>○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108" t="s">
        <v>7</v>
      </c>
      <c r="O13" s="108"/>
      <c r="P13" s="108"/>
      <c r="Q13" s="108" t="s">
        <v>8</v>
      </c>
      <c r="R13" s="108"/>
      <c r="S13" s="108" t="s">
        <v>31</v>
      </c>
      <c r="T13" s="108"/>
      <c r="U13" s="108"/>
    </row>
    <row r="14" spans="2:21" x14ac:dyDescent="0.45">
      <c r="B14" s="91">
        <v>46204</v>
      </c>
      <c r="C14" s="91"/>
      <c r="D14" s="92" t="s">
        <v>67</v>
      </c>
      <c r="E14" s="92"/>
      <c r="F14" s="92"/>
      <c r="G14" s="92"/>
      <c r="H14" s="92" t="s">
        <v>68</v>
      </c>
      <c r="I14" s="92"/>
      <c r="J14" s="92"/>
      <c r="K14" s="84">
        <v>4500000</v>
      </c>
      <c r="L14" s="84"/>
      <c r="M14" s="84"/>
      <c r="N14" s="101">
        <v>1215000</v>
      </c>
      <c r="O14" s="101"/>
      <c r="P14" s="101"/>
      <c r="Q14" s="102">
        <f t="shared" ref="Q14:Q28" si="0">IF(K14=0,"",N14/K14)</f>
        <v>0.27</v>
      </c>
      <c r="R14" s="102"/>
      <c r="S14" s="103" t="s">
        <v>69</v>
      </c>
      <c r="T14" s="103"/>
      <c r="U14" s="103"/>
    </row>
    <row r="15" spans="2:21" x14ac:dyDescent="0.45">
      <c r="B15" s="89">
        <v>46211</v>
      </c>
      <c r="C15" s="89"/>
      <c r="D15" s="90" t="s">
        <v>70</v>
      </c>
      <c r="E15" s="90"/>
      <c r="F15" s="90"/>
      <c r="G15" s="90"/>
      <c r="H15" s="90" t="s">
        <v>71</v>
      </c>
      <c r="I15" s="90"/>
      <c r="J15" s="90"/>
      <c r="K15" s="85">
        <v>3200000</v>
      </c>
      <c r="L15" s="85"/>
      <c r="M15" s="85"/>
      <c r="N15" s="107">
        <v>864000</v>
      </c>
      <c r="O15" s="107"/>
      <c r="P15" s="107"/>
      <c r="Q15" s="99">
        <f t="shared" si="0"/>
        <v>0.27</v>
      </c>
      <c r="R15" s="99"/>
      <c r="S15" s="100" t="s">
        <v>72</v>
      </c>
      <c r="T15" s="100"/>
      <c r="U15" s="100"/>
    </row>
    <row r="16" spans="2:21" x14ac:dyDescent="0.45">
      <c r="B16" s="91">
        <v>46218</v>
      </c>
      <c r="C16" s="91"/>
      <c r="D16" s="92" t="s">
        <v>73</v>
      </c>
      <c r="E16" s="92"/>
      <c r="F16" s="92"/>
      <c r="G16" s="92"/>
      <c r="H16" s="92" t="s">
        <v>74</v>
      </c>
      <c r="I16" s="92"/>
      <c r="J16" s="92"/>
      <c r="K16" s="84">
        <v>2500000</v>
      </c>
      <c r="L16" s="84"/>
      <c r="M16" s="84"/>
      <c r="N16" s="101">
        <v>675000</v>
      </c>
      <c r="O16" s="101"/>
      <c r="P16" s="101"/>
      <c r="Q16" s="102">
        <f t="shared" si="0"/>
        <v>0.27</v>
      </c>
      <c r="R16" s="102"/>
      <c r="S16" s="103" t="s">
        <v>69</v>
      </c>
      <c r="T16" s="103"/>
      <c r="U16" s="103"/>
    </row>
    <row r="17" spans="2:21" x14ac:dyDescent="0.45">
      <c r="B17" s="89">
        <v>46225</v>
      </c>
      <c r="C17" s="89"/>
      <c r="D17" s="90" t="s">
        <v>75</v>
      </c>
      <c r="E17" s="90"/>
      <c r="F17" s="90"/>
      <c r="G17" s="90"/>
      <c r="H17" s="90" t="s">
        <v>50</v>
      </c>
      <c r="I17" s="90"/>
      <c r="J17" s="90"/>
      <c r="K17" s="85">
        <v>1500000</v>
      </c>
      <c r="L17" s="85"/>
      <c r="M17" s="85"/>
      <c r="N17" s="107">
        <v>405000</v>
      </c>
      <c r="O17" s="107"/>
      <c r="P17" s="107"/>
      <c r="Q17" s="99">
        <f t="shared" si="0"/>
        <v>0.27</v>
      </c>
      <c r="R17" s="99"/>
      <c r="S17" s="100" t="s">
        <v>76</v>
      </c>
      <c r="T17" s="100"/>
      <c r="U17" s="100"/>
    </row>
    <row r="18" spans="2:21" x14ac:dyDescent="0.45">
      <c r="B18" s="91">
        <v>46231</v>
      </c>
      <c r="C18" s="91"/>
      <c r="D18" s="92" t="s">
        <v>77</v>
      </c>
      <c r="E18" s="92"/>
      <c r="F18" s="92"/>
      <c r="G18" s="92"/>
      <c r="H18" s="92" t="s">
        <v>44</v>
      </c>
      <c r="I18" s="92"/>
      <c r="J18" s="92"/>
      <c r="K18" s="84">
        <v>800000</v>
      </c>
      <c r="L18" s="84"/>
      <c r="M18" s="84"/>
      <c r="N18" s="101">
        <v>216000</v>
      </c>
      <c r="O18" s="101"/>
      <c r="P18" s="101"/>
      <c r="Q18" s="102">
        <f t="shared" si="0"/>
        <v>0.27</v>
      </c>
      <c r="R18" s="102"/>
      <c r="S18" s="103" t="s">
        <v>72</v>
      </c>
      <c r="T18" s="103"/>
      <c r="U18" s="103"/>
    </row>
    <row r="19" spans="2:21" x14ac:dyDescent="0.45">
      <c r="B19" s="89">
        <v>46203</v>
      </c>
      <c r="C19" s="89"/>
      <c r="D19" s="90" t="s">
        <v>125</v>
      </c>
      <c r="E19" s="90"/>
      <c r="F19" s="90"/>
      <c r="G19" s="90"/>
      <c r="H19" s="90" t="s">
        <v>98</v>
      </c>
      <c r="I19" s="90"/>
      <c r="J19" s="90"/>
      <c r="K19" s="85">
        <v>3200000</v>
      </c>
      <c r="L19" s="85"/>
      <c r="M19" s="85"/>
      <c r="N19" s="107">
        <v>864000</v>
      </c>
      <c r="O19" s="107"/>
      <c r="P19" s="107"/>
      <c r="Q19" s="99">
        <f t="shared" si="0"/>
        <v>0.27</v>
      </c>
      <c r="R19" s="99"/>
      <c r="S19" s="100" t="s">
        <v>69</v>
      </c>
      <c r="T19" s="100"/>
      <c r="U19" s="100"/>
    </row>
    <row r="20" spans="2:21" x14ac:dyDescent="0.45">
      <c r="B20" s="91">
        <v>46207</v>
      </c>
      <c r="C20" s="91"/>
      <c r="D20" s="92" t="s">
        <v>126</v>
      </c>
      <c r="E20" s="92"/>
      <c r="F20" s="92"/>
      <c r="G20" s="92"/>
      <c r="H20" s="92" t="s">
        <v>71</v>
      </c>
      <c r="I20" s="92"/>
      <c r="J20" s="92"/>
      <c r="K20" s="84">
        <v>2800000</v>
      </c>
      <c r="L20" s="84"/>
      <c r="M20" s="84"/>
      <c r="N20" s="101">
        <v>756000</v>
      </c>
      <c r="O20" s="101"/>
      <c r="P20" s="101"/>
      <c r="Q20" s="102">
        <f t="shared" si="0"/>
        <v>0.27</v>
      </c>
      <c r="R20" s="102"/>
      <c r="S20" s="103" t="s">
        <v>72</v>
      </c>
      <c r="T20" s="103"/>
      <c r="U20" s="103"/>
    </row>
    <row r="21" spans="2:21" x14ac:dyDescent="0.45">
      <c r="B21" s="89">
        <v>46210</v>
      </c>
      <c r="C21" s="89"/>
      <c r="D21" s="90" t="s">
        <v>127</v>
      </c>
      <c r="E21" s="90"/>
      <c r="F21" s="90"/>
      <c r="G21" s="90"/>
      <c r="H21" s="90" t="s">
        <v>74</v>
      </c>
      <c r="I21" s="90"/>
      <c r="J21" s="90"/>
      <c r="K21" s="85">
        <v>2100000</v>
      </c>
      <c r="L21" s="85"/>
      <c r="M21" s="85"/>
      <c r="N21" s="107">
        <v>567000</v>
      </c>
      <c r="O21" s="107"/>
      <c r="P21" s="107"/>
      <c r="Q21" s="99">
        <f t="shared" si="0"/>
        <v>0.27</v>
      </c>
      <c r="R21" s="99"/>
      <c r="S21" s="100" t="s">
        <v>76</v>
      </c>
      <c r="T21" s="100"/>
      <c r="U21" s="100"/>
    </row>
    <row r="22" spans="2:21" x14ac:dyDescent="0.45">
      <c r="B22" s="91">
        <v>46214</v>
      </c>
      <c r="C22" s="91"/>
      <c r="D22" s="92" t="s">
        <v>128</v>
      </c>
      <c r="E22" s="92"/>
      <c r="F22" s="92"/>
      <c r="G22" s="92"/>
      <c r="H22" s="92" t="s">
        <v>50</v>
      </c>
      <c r="I22" s="92"/>
      <c r="J22" s="92"/>
      <c r="K22" s="84">
        <v>1800000</v>
      </c>
      <c r="L22" s="84"/>
      <c r="M22" s="84"/>
      <c r="N22" s="101">
        <v>486000</v>
      </c>
      <c r="O22" s="101"/>
      <c r="P22" s="101"/>
      <c r="Q22" s="102">
        <f t="shared" si="0"/>
        <v>0.27</v>
      </c>
      <c r="R22" s="102"/>
      <c r="S22" s="103" t="s">
        <v>69</v>
      </c>
      <c r="T22" s="103"/>
      <c r="U22" s="103"/>
    </row>
    <row r="23" spans="2:21" x14ac:dyDescent="0.45">
      <c r="B23" s="89">
        <v>46217</v>
      </c>
      <c r="C23" s="89"/>
      <c r="D23" s="90" t="s">
        <v>129</v>
      </c>
      <c r="E23" s="90"/>
      <c r="F23" s="90"/>
      <c r="G23" s="90"/>
      <c r="H23" s="90" t="s">
        <v>44</v>
      </c>
      <c r="I23" s="90"/>
      <c r="J23" s="90"/>
      <c r="K23" s="85">
        <v>1500000</v>
      </c>
      <c r="L23" s="85"/>
      <c r="M23" s="85"/>
      <c r="N23" s="107">
        <v>405000</v>
      </c>
      <c r="O23" s="107"/>
      <c r="P23" s="107"/>
      <c r="Q23" s="99">
        <f t="shared" si="0"/>
        <v>0.27</v>
      </c>
      <c r="R23" s="99"/>
      <c r="S23" s="100" t="s">
        <v>72</v>
      </c>
      <c r="T23" s="100"/>
      <c r="U23" s="100"/>
    </row>
    <row r="24" spans="2:21" x14ac:dyDescent="0.45">
      <c r="B24" s="91">
        <v>46221</v>
      </c>
      <c r="C24" s="91"/>
      <c r="D24" s="92" t="s">
        <v>130</v>
      </c>
      <c r="E24" s="92"/>
      <c r="F24" s="92"/>
      <c r="G24" s="92"/>
      <c r="H24" s="92" t="s">
        <v>68</v>
      </c>
      <c r="I24" s="92"/>
      <c r="J24" s="92"/>
      <c r="K24" s="84">
        <v>3500000</v>
      </c>
      <c r="L24" s="84"/>
      <c r="M24" s="84"/>
      <c r="N24" s="101">
        <v>945000</v>
      </c>
      <c r="O24" s="101"/>
      <c r="P24" s="101"/>
      <c r="Q24" s="102">
        <f t="shared" si="0"/>
        <v>0.27</v>
      </c>
      <c r="R24" s="102"/>
      <c r="S24" s="103" t="s">
        <v>76</v>
      </c>
      <c r="T24" s="103"/>
      <c r="U24" s="103"/>
    </row>
    <row r="25" spans="2:21" x14ac:dyDescent="0.45">
      <c r="B25" s="89">
        <v>46224</v>
      </c>
      <c r="C25" s="89"/>
      <c r="D25" s="90" t="s">
        <v>131</v>
      </c>
      <c r="E25" s="90"/>
      <c r="F25" s="90"/>
      <c r="G25" s="90"/>
      <c r="H25" s="90" t="s">
        <v>132</v>
      </c>
      <c r="I25" s="90"/>
      <c r="J25" s="90"/>
      <c r="K25" s="85">
        <v>2400000</v>
      </c>
      <c r="L25" s="85"/>
      <c r="M25" s="85"/>
      <c r="N25" s="107">
        <v>648000</v>
      </c>
      <c r="O25" s="107"/>
      <c r="P25" s="107"/>
      <c r="Q25" s="99">
        <f t="shared" si="0"/>
        <v>0.27</v>
      </c>
      <c r="R25" s="99"/>
      <c r="S25" s="100" t="s">
        <v>69</v>
      </c>
      <c r="T25" s="100"/>
      <c r="U25" s="100"/>
    </row>
    <row r="26" spans="2:21" x14ac:dyDescent="0.45">
      <c r="B26" s="91">
        <v>46227</v>
      </c>
      <c r="C26" s="91"/>
      <c r="D26" s="92" t="s">
        <v>133</v>
      </c>
      <c r="E26" s="92"/>
      <c r="F26" s="92"/>
      <c r="G26" s="92"/>
      <c r="H26" s="92" t="s">
        <v>134</v>
      </c>
      <c r="I26" s="92"/>
      <c r="J26" s="92"/>
      <c r="K26" s="84">
        <v>1900000</v>
      </c>
      <c r="L26" s="84"/>
      <c r="M26" s="84"/>
      <c r="N26" s="101">
        <v>513000</v>
      </c>
      <c r="O26" s="101"/>
      <c r="P26" s="101"/>
      <c r="Q26" s="102">
        <f t="shared" si="0"/>
        <v>0.27</v>
      </c>
      <c r="R26" s="102"/>
      <c r="S26" s="103" t="s">
        <v>72</v>
      </c>
      <c r="T26" s="103"/>
      <c r="U26" s="103"/>
    </row>
    <row r="27" spans="2:21" x14ac:dyDescent="0.45">
      <c r="B27" s="89">
        <v>46230</v>
      </c>
      <c r="C27" s="89"/>
      <c r="D27" s="90" t="s">
        <v>135</v>
      </c>
      <c r="E27" s="90"/>
      <c r="F27" s="90"/>
      <c r="G27" s="90"/>
      <c r="H27" s="90" t="s">
        <v>136</v>
      </c>
      <c r="I27" s="90"/>
      <c r="J27" s="90"/>
      <c r="K27" s="85">
        <v>2200000</v>
      </c>
      <c r="L27" s="85"/>
      <c r="M27" s="85"/>
      <c r="N27" s="107">
        <v>594000</v>
      </c>
      <c r="O27" s="107"/>
      <c r="P27" s="107"/>
      <c r="Q27" s="99">
        <f t="shared" si="0"/>
        <v>0.27</v>
      </c>
      <c r="R27" s="99"/>
      <c r="S27" s="100" t="s">
        <v>76</v>
      </c>
      <c r="T27" s="100"/>
      <c r="U27" s="100"/>
    </row>
    <row r="28" spans="2:21" x14ac:dyDescent="0.45">
      <c r="B28" s="91">
        <v>46233</v>
      </c>
      <c r="C28" s="91"/>
      <c r="D28" s="92" t="s">
        <v>137</v>
      </c>
      <c r="E28" s="92"/>
      <c r="F28" s="92"/>
      <c r="G28" s="92"/>
      <c r="H28" s="92" t="s">
        <v>138</v>
      </c>
      <c r="I28" s="92"/>
      <c r="J28" s="92"/>
      <c r="K28" s="84">
        <v>2600000</v>
      </c>
      <c r="L28" s="84"/>
      <c r="M28" s="84"/>
      <c r="N28" s="101">
        <v>702000</v>
      </c>
      <c r="O28" s="101"/>
      <c r="P28" s="101"/>
      <c r="Q28" s="102">
        <f t="shared" si="0"/>
        <v>0.27</v>
      </c>
      <c r="R28" s="102"/>
      <c r="S28" s="103" t="s">
        <v>69</v>
      </c>
      <c r="T28" s="103"/>
      <c r="U28" s="103"/>
    </row>
    <row r="29" spans="2:2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SUM(K14:K28)</f>
        <v>36500000</v>
      </c>
      <c r="L42" s="39"/>
      <c r="M42" s="39"/>
      <c r="N42" s="104">
        <f>SUM(N14:N28)</f>
        <v>9855000</v>
      </c>
      <c r="O42" s="104"/>
      <c r="P42" s="104"/>
      <c r="Q42" s="105">
        <f>IF(K42=0,"",N42/K42)</f>
        <v>0.27</v>
      </c>
      <c r="R42" s="105"/>
      <c r="S42" s="106"/>
      <c r="T42" s="106"/>
      <c r="U42" s="106"/>
    </row>
  </sheetData>
  <mergeCells count="227">
    <mergeCell ref="N27:P27"/>
    <mergeCell ref="Q27:R27"/>
    <mergeCell ref="S27:U27"/>
    <mergeCell ref="N28:P28"/>
    <mergeCell ref="Q28:R28"/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N22:P22"/>
    <mergeCell ref="Q22:R22"/>
    <mergeCell ref="S22:U22"/>
    <mergeCell ref="B26:C26"/>
    <mergeCell ref="D26:G26"/>
    <mergeCell ref="H26:J26"/>
    <mergeCell ref="K26:M26"/>
    <mergeCell ref="B25:C25"/>
    <mergeCell ref="D25:G25"/>
    <mergeCell ref="H25:J25"/>
    <mergeCell ref="K25:M25"/>
    <mergeCell ref="N26:P26"/>
    <mergeCell ref="Q26:R26"/>
    <mergeCell ref="S26:U26"/>
    <mergeCell ref="B21:C21"/>
    <mergeCell ref="D21:G21"/>
    <mergeCell ref="H21:J21"/>
    <mergeCell ref="K21:M21"/>
    <mergeCell ref="B20:C20"/>
    <mergeCell ref="D20:G20"/>
    <mergeCell ref="H20:J20"/>
    <mergeCell ref="K20:M20"/>
    <mergeCell ref="B24:C24"/>
    <mergeCell ref="K24:M24"/>
    <mergeCell ref="D24:G24"/>
    <mergeCell ref="H24:J24"/>
    <mergeCell ref="B23:C23"/>
    <mergeCell ref="D23:G23"/>
    <mergeCell ref="H23:J23"/>
    <mergeCell ref="K23:M23"/>
    <mergeCell ref="B22:C22"/>
    <mergeCell ref="D22:G22"/>
    <mergeCell ref="H22:J22"/>
    <mergeCell ref="K22:M22"/>
    <mergeCell ref="B8:D8"/>
    <mergeCell ref="D19:G19"/>
    <mergeCell ref="H19:J19"/>
    <mergeCell ref="B1:U1"/>
    <mergeCell ref="B2:U3"/>
    <mergeCell ref="B4:U4"/>
    <mergeCell ref="E5:Q5"/>
    <mergeCell ref="B6:U6"/>
    <mergeCell ref="N9:Q9"/>
    <mergeCell ref="N10:Q10"/>
    <mergeCell ref="R9:U9"/>
    <mergeCell ref="R10:U10"/>
    <mergeCell ref="B12:D12"/>
    <mergeCell ref="B9:E9"/>
    <mergeCell ref="B10:E10"/>
    <mergeCell ref="F9:I9"/>
    <mergeCell ref="F10:I10"/>
    <mergeCell ref="J9:M9"/>
    <mergeCell ref="J10:M10"/>
    <mergeCell ref="B14:C14"/>
    <mergeCell ref="B15:C15"/>
    <mergeCell ref="D15:G15"/>
    <mergeCell ref="H15:J15"/>
    <mergeCell ref="K15:M15"/>
    <mergeCell ref="D14:G14"/>
    <mergeCell ref="H14:J14"/>
    <mergeCell ref="K14:M14"/>
    <mergeCell ref="B13:C13"/>
    <mergeCell ref="D13:G13"/>
    <mergeCell ref="H13:J13"/>
    <mergeCell ref="K13:M13"/>
    <mergeCell ref="K18:M18"/>
    <mergeCell ref="B17:C17"/>
    <mergeCell ref="D17:G17"/>
    <mergeCell ref="H17:J17"/>
    <mergeCell ref="K17:M17"/>
    <mergeCell ref="S18:U18"/>
    <mergeCell ref="B16:C16"/>
    <mergeCell ref="D16:G16"/>
    <mergeCell ref="H16:J16"/>
    <mergeCell ref="K16:M16"/>
    <mergeCell ref="B19:C19"/>
    <mergeCell ref="K19:M19"/>
    <mergeCell ref="D42:G42"/>
    <mergeCell ref="H42:J42"/>
    <mergeCell ref="N13:P13"/>
    <mergeCell ref="Q13:R13"/>
    <mergeCell ref="S13:U13"/>
    <mergeCell ref="N14:P14"/>
    <mergeCell ref="Q14:R14"/>
    <mergeCell ref="S14:U14"/>
    <mergeCell ref="N15:P15"/>
    <mergeCell ref="Q15:R15"/>
    <mergeCell ref="S15:U15"/>
    <mergeCell ref="N16:P16"/>
    <mergeCell ref="Q16:R16"/>
    <mergeCell ref="S16:U16"/>
    <mergeCell ref="N17:P17"/>
    <mergeCell ref="Q17:R17"/>
    <mergeCell ref="S17:U17"/>
    <mergeCell ref="N18:P18"/>
    <mergeCell ref="Q18:R18"/>
    <mergeCell ref="B18:C18"/>
    <mergeCell ref="D18:G18"/>
    <mergeCell ref="H18:J18"/>
    <mergeCell ref="N19:P19"/>
    <mergeCell ref="Q19:R19"/>
    <mergeCell ref="S19:U19"/>
    <mergeCell ref="N20:P20"/>
    <mergeCell ref="Q20:R20"/>
    <mergeCell ref="S20:U20"/>
    <mergeCell ref="N21:P21"/>
    <mergeCell ref="Q21:R21"/>
    <mergeCell ref="S21:U21"/>
    <mergeCell ref="N23:P23"/>
    <mergeCell ref="Q23:R23"/>
    <mergeCell ref="S23:U23"/>
    <mergeCell ref="N24:P24"/>
    <mergeCell ref="Q24:R24"/>
    <mergeCell ref="S24:U24"/>
    <mergeCell ref="N25:P25"/>
    <mergeCell ref="Q25:R25"/>
    <mergeCell ref="S25:U25"/>
    <mergeCell ref="S28:U28"/>
    <mergeCell ref="N42:P42"/>
    <mergeCell ref="Q42:R42"/>
    <mergeCell ref="S42:U42"/>
    <mergeCell ref="B29:C29"/>
    <mergeCell ref="D29:G29"/>
    <mergeCell ref="H29:J29"/>
    <mergeCell ref="K29:M29"/>
    <mergeCell ref="N29:P29"/>
    <mergeCell ref="Q29:R29"/>
    <mergeCell ref="S29:U29"/>
    <mergeCell ref="B30:C30"/>
    <mergeCell ref="D30:G30"/>
    <mergeCell ref="H30:J30"/>
    <mergeCell ref="K30:M30"/>
    <mergeCell ref="N30:P30"/>
    <mergeCell ref="Q30:R30"/>
    <mergeCell ref="S30:U30"/>
    <mergeCell ref="B31:C31"/>
    <mergeCell ref="D31:G31"/>
    <mergeCell ref="H31:J31"/>
    <mergeCell ref="K31:M31"/>
    <mergeCell ref="N31:P31"/>
    <mergeCell ref="Q31:R31"/>
    <mergeCell ref="S31:U31"/>
    <mergeCell ref="B32:C32"/>
    <mergeCell ref="D32:G32"/>
    <mergeCell ref="H32:J32"/>
    <mergeCell ref="K32:M32"/>
    <mergeCell ref="N32:P32"/>
    <mergeCell ref="Q32:R32"/>
    <mergeCell ref="S32:U32"/>
    <mergeCell ref="B33:C33"/>
    <mergeCell ref="D33:G33"/>
    <mergeCell ref="H33:J33"/>
    <mergeCell ref="K33:M33"/>
    <mergeCell ref="N33:P33"/>
    <mergeCell ref="Q33:R33"/>
    <mergeCell ref="S33:U33"/>
    <mergeCell ref="B34:C34"/>
    <mergeCell ref="D34:G34"/>
    <mergeCell ref="H34:J34"/>
    <mergeCell ref="K34:M34"/>
    <mergeCell ref="N34:P34"/>
    <mergeCell ref="Q34:R34"/>
    <mergeCell ref="S34:U34"/>
    <mergeCell ref="B35:C35"/>
    <mergeCell ref="D35:G35"/>
    <mergeCell ref="H35:J35"/>
    <mergeCell ref="K35:M35"/>
    <mergeCell ref="N35:P35"/>
    <mergeCell ref="Q35:R35"/>
    <mergeCell ref="S35:U35"/>
    <mergeCell ref="B36:C36"/>
    <mergeCell ref="D36:G36"/>
    <mergeCell ref="H36:J36"/>
    <mergeCell ref="K36:M36"/>
    <mergeCell ref="N36:P36"/>
    <mergeCell ref="Q36:R36"/>
    <mergeCell ref="S36:U36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  <mergeCell ref="Q40:R40"/>
    <mergeCell ref="S40:U40"/>
    <mergeCell ref="B41:C41"/>
    <mergeCell ref="D41:G41"/>
    <mergeCell ref="H41:J41"/>
    <mergeCell ref="K41:M41"/>
    <mergeCell ref="N41:P41"/>
    <mergeCell ref="Q41:R41"/>
    <mergeCell ref="S41:U41"/>
  </mergeCells>
  <phoneticPr fontId="3"/>
  <pageMargins left="0.7" right="0.7" top="0.75" bottom="0.75" header="0.3" footer="0.3"/>
  <pageSetup paperSize="9" scale="8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9A84-4821-4EDC-A1B1-3FD0A3C3A8DE}">
  <sheetPr>
    <pageSetUpPr fitToPage="1"/>
  </sheetPr>
  <dimension ref="B1:U42"/>
  <sheetViews>
    <sheetView view="pageBreakPreview" zoomScaleNormal="100" zoomScaleSheetLayoutView="100" workbookViewId="0">
      <selection activeCell="B2" sqref="B2:U3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172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11720000</v>
      </c>
      <c r="C10" s="97"/>
      <c r="D10" s="97"/>
      <c r="E10" s="97"/>
      <c r="F10" s="97">
        <v>12400000</v>
      </c>
      <c r="G10" s="97"/>
      <c r="H10" s="97"/>
      <c r="I10" s="97"/>
      <c r="J10" s="95">
        <f>IF(F10=0,"",B10/F10)</f>
        <v>0.94516129032258067</v>
      </c>
      <c r="K10" s="95"/>
      <c r="L10" s="95"/>
      <c r="M10" s="95"/>
      <c r="N10" s="95">
        <v>0.92</v>
      </c>
      <c r="O10" s="95"/>
      <c r="P10" s="95"/>
      <c r="Q10" s="95"/>
      <c r="R10" s="96" t="str">
        <f>IF(J10="","",IF(J10&gt;=1.05,"◎",IF(J10&gt;=1,"○",IF(J10&gt;=0.95,"△","×"))))</f>
        <v>×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108" t="s">
        <v>7</v>
      </c>
      <c r="O13" s="108"/>
      <c r="P13" s="108"/>
      <c r="Q13" s="108" t="s">
        <v>8</v>
      </c>
      <c r="R13" s="108"/>
      <c r="S13" s="108" t="s">
        <v>31</v>
      </c>
      <c r="T13" s="108"/>
      <c r="U13" s="108"/>
    </row>
    <row r="14" spans="2:21" ht="18" customHeight="1" x14ac:dyDescent="0.45">
      <c r="B14" s="91">
        <v>46207</v>
      </c>
      <c r="C14" s="91"/>
      <c r="D14" s="92" t="s">
        <v>78</v>
      </c>
      <c r="E14" s="92"/>
      <c r="F14" s="92"/>
      <c r="G14" s="92"/>
      <c r="H14" s="92" t="s">
        <v>79</v>
      </c>
      <c r="I14" s="92"/>
      <c r="J14" s="92"/>
      <c r="K14" s="84">
        <v>1500000</v>
      </c>
      <c r="L14" s="84"/>
      <c r="M14" s="84"/>
      <c r="N14" s="101">
        <v>375000</v>
      </c>
      <c r="O14" s="101"/>
      <c r="P14" s="101"/>
      <c r="Q14" s="102">
        <f t="shared" ref="Q14:Q28" si="0">IF(K14=0,"",N14/K14)</f>
        <v>0.25</v>
      </c>
      <c r="R14" s="102"/>
      <c r="S14" s="103" t="s">
        <v>80</v>
      </c>
      <c r="T14" s="103"/>
      <c r="U14" s="103"/>
    </row>
    <row r="15" spans="2:21" ht="18" customHeight="1" x14ac:dyDescent="0.45">
      <c r="B15" s="89">
        <v>46214</v>
      </c>
      <c r="C15" s="89"/>
      <c r="D15" s="90" t="s">
        <v>81</v>
      </c>
      <c r="E15" s="90"/>
      <c r="F15" s="90"/>
      <c r="G15" s="90"/>
      <c r="H15" s="90" t="s">
        <v>82</v>
      </c>
      <c r="I15" s="90"/>
      <c r="J15" s="90"/>
      <c r="K15" s="85">
        <v>1200000</v>
      </c>
      <c r="L15" s="85"/>
      <c r="M15" s="85"/>
      <c r="N15" s="107">
        <v>300000</v>
      </c>
      <c r="O15" s="107"/>
      <c r="P15" s="107"/>
      <c r="Q15" s="99">
        <f t="shared" si="0"/>
        <v>0.25</v>
      </c>
      <c r="R15" s="99"/>
      <c r="S15" s="100" t="s">
        <v>83</v>
      </c>
      <c r="T15" s="100"/>
      <c r="U15" s="100"/>
    </row>
    <row r="16" spans="2:21" ht="18" customHeight="1" x14ac:dyDescent="0.45">
      <c r="B16" s="91">
        <v>46221</v>
      </c>
      <c r="C16" s="91"/>
      <c r="D16" s="92" t="s">
        <v>84</v>
      </c>
      <c r="E16" s="92"/>
      <c r="F16" s="92"/>
      <c r="G16" s="92"/>
      <c r="H16" s="92" t="s">
        <v>85</v>
      </c>
      <c r="I16" s="92"/>
      <c r="J16" s="92"/>
      <c r="K16" s="84">
        <v>1100000</v>
      </c>
      <c r="L16" s="84"/>
      <c r="M16" s="84"/>
      <c r="N16" s="101">
        <v>275000</v>
      </c>
      <c r="O16" s="101"/>
      <c r="P16" s="101"/>
      <c r="Q16" s="102">
        <f t="shared" si="0"/>
        <v>0.25</v>
      </c>
      <c r="R16" s="102"/>
      <c r="S16" s="103" t="s">
        <v>80</v>
      </c>
      <c r="T16" s="103"/>
      <c r="U16" s="103"/>
    </row>
    <row r="17" spans="2:21" ht="18" customHeight="1" x14ac:dyDescent="0.45">
      <c r="B17" s="89">
        <v>46227</v>
      </c>
      <c r="C17" s="89"/>
      <c r="D17" s="90" t="s">
        <v>86</v>
      </c>
      <c r="E17" s="90"/>
      <c r="F17" s="90"/>
      <c r="G17" s="90"/>
      <c r="H17" s="90" t="s">
        <v>50</v>
      </c>
      <c r="I17" s="90"/>
      <c r="J17" s="90"/>
      <c r="K17" s="85">
        <v>900000</v>
      </c>
      <c r="L17" s="85"/>
      <c r="M17" s="85"/>
      <c r="N17" s="107">
        <v>225000</v>
      </c>
      <c r="O17" s="107"/>
      <c r="P17" s="107"/>
      <c r="Q17" s="99">
        <f t="shared" si="0"/>
        <v>0.25</v>
      </c>
      <c r="R17" s="99"/>
      <c r="S17" s="100" t="s">
        <v>83</v>
      </c>
      <c r="T17" s="100"/>
      <c r="U17" s="100"/>
    </row>
    <row r="18" spans="2:21" ht="18" customHeight="1" x14ac:dyDescent="0.45">
      <c r="B18" s="91">
        <v>46233</v>
      </c>
      <c r="C18" s="91"/>
      <c r="D18" s="92" t="s">
        <v>87</v>
      </c>
      <c r="E18" s="92"/>
      <c r="F18" s="92"/>
      <c r="G18" s="92"/>
      <c r="H18" s="92" t="s">
        <v>41</v>
      </c>
      <c r="I18" s="92"/>
      <c r="J18" s="92"/>
      <c r="K18" s="84">
        <v>500000</v>
      </c>
      <c r="L18" s="84"/>
      <c r="M18" s="84"/>
      <c r="N18" s="101">
        <v>125000</v>
      </c>
      <c r="O18" s="101"/>
      <c r="P18" s="101"/>
      <c r="Q18" s="102">
        <f t="shared" si="0"/>
        <v>0.25</v>
      </c>
      <c r="R18" s="102"/>
      <c r="S18" s="103" t="s">
        <v>80</v>
      </c>
      <c r="T18" s="103"/>
      <c r="U18" s="103"/>
    </row>
    <row r="19" spans="2:21" ht="18" customHeight="1" x14ac:dyDescent="0.45">
      <c r="B19" s="89">
        <v>46203</v>
      </c>
      <c r="C19" s="89"/>
      <c r="D19" s="90" t="s">
        <v>139</v>
      </c>
      <c r="E19" s="90"/>
      <c r="F19" s="90"/>
      <c r="G19" s="90"/>
      <c r="H19" s="90" t="s">
        <v>98</v>
      </c>
      <c r="I19" s="90"/>
      <c r="J19" s="90"/>
      <c r="K19" s="85">
        <v>850000</v>
      </c>
      <c r="L19" s="85"/>
      <c r="M19" s="85"/>
      <c r="N19" s="107">
        <v>212500</v>
      </c>
      <c r="O19" s="107"/>
      <c r="P19" s="107"/>
      <c r="Q19" s="99">
        <f t="shared" si="0"/>
        <v>0.25</v>
      </c>
      <c r="R19" s="99"/>
      <c r="S19" s="100" t="s">
        <v>140</v>
      </c>
      <c r="T19" s="100"/>
      <c r="U19" s="100"/>
    </row>
    <row r="20" spans="2:21" ht="18" customHeight="1" x14ac:dyDescent="0.45">
      <c r="B20" s="91">
        <v>46207</v>
      </c>
      <c r="C20" s="91"/>
      <c r="D20" s="92" t="s">
        <v>141</v>
      </c>
      <c r="E20" s="92"/>
      <c r="F20" s="92"/>
      <c r="G20" s="92"/>
      <c r="H20" s="92" t="s">
        <v>39</v>
      </c>
      <c r="I20" s="92"/>
      <c r="J20" s="92"/>
      <c r="K20" s="84">
        <v>720000</v>
      </c>
      <c r="L20" s="84"/>
      <c r="M20" s="84"/>
      <c r="N20" s="101">
        <v>180000</v>
      </c>
      <c r="O20" s="101"/>
      <c r="P20" s="101"/>
      <c r="Q20" s="102">
        <f t="shared" si="0"/>
        <v>0.25</v>
      </c>
      <c r="R20" s="102"/>
      <c r="S20" s="103" t="s">
        <v>142</v>
      </c>
      <c r="T20" s="103"/>
      <c r="U20" s="103"/>
    </row>
    <row r="21" spans="2:21" ht="18" customHeight="1" x14ac:dyDescent="0.45">
      <c r="B21" s="89">
        <v>46210</v>
      </c>
      <c r="C21" s="89"/>
      <c r="D21" s="90" t="s">
        <v>143</v>
      </c>
      <c r="E21" s="90"/>
      <c r="F21" s="90"/>
      <c r="G21" s="90"/>
      <c r="H21" s="90" t="s">
        <v>50</v>
      </c>
      <c r="I21" s="90"/>
      <c r="J21" s="90"/>
      <c r="K21" s="85">
        <v>650000</v>
      </c>
      <c r="L21" s="85"/>
      <c r="M21" s="85"/>
      <c r="N21" s="107">
        <v>162500</v>
      </c>
      <c r="O21" s="107"/>
      <c r="P21" s="107"/>
      <c r="Q21" s="99">
        <f t="shared" si="0"/>
        <v>0.25</v>
      </c>
      <c r="R21" s="99"/>
      <c r="S21" s="100" t="s">
        <v>144</v>
      </c>
      <c r="T21" s="100"/>
      <c r="U21" s="100"/>
    </row>
    <row r="22" spans="2:21" ht="18" customHeight="1" x14ac:dyDescent="0.45">
      <c r="B22" s="91">
        <v>46214</v>
      </c>
      <c r="C22" s="91"/>
      <c r="D22" s="92" t="s">
        <v>145</v>
      </c>
      <c r="E22" s="92"/>
      <c r="F22" s="92"/>
      <c r="G22" s="92"/>
      <c r="H22" s="92" t="s">
        <v>41</v>
      </c>
      <c r="I22" s="92"/>
      <c r="J22" s="92"/>
      <c r="K22" s="84">
        <v>580000</v>
      </c>
      <c r="L22" s="84"/>
      <c r="M22" s="84"/>
      <c r="N22" s="101">
        <v>145000</v>
      </c>
      <c r="O22" s="101"/>
      <c r="P22" s="101"/>
      <c r="Q22" s="102">
        <f t="shared" si="0"/>
        <v>0.25</v>
      </c>
      <c r="R22" s="102"/>
      <c r="S22" s="103" t="s">
        <v>140</v>
      </c>
      <c r="T22" s="103"/>
      <c r="U22" s="103"/>
    </row>
    <row r="23" spans="2:21" ht="18" customHeight="1" x14ac:dyDescent="0.45">
      <c r="B23" s="89">
        <v>46217</v>
      </c>
      <c r="C23" s="89"/>
      <c r="D23" s="90" t="s">
        <v>146</v>
      </c>
      <c r="E23" s="90"/>
      <c r="F23" s="90"/>
      <c r="G23" s="90"/>
      <c r="H23" s="90" t="s">
        <v>44</v>
      </c>
      <c r="I23" s="90"/>
      <c r="J23" s="90"/>
      <c r="K23" s="85">
        <v>490000</v>
      </c>
      <c r="L23" s="85"/>
      <c r="M23" s="85"/>
      <c r="N23" s="107">
        <v>122500</v>
      </c>
      <c r="O23" s="107"/>
      <c r="P23" s="107"/>
      <c r="Q23" s="99">
        <f t="shared" si="0"/>
        <v>0.25</v>
      </c>
      <c r="R23" s="99"/>
      <c r="S23" s="100" t="s">
        <v>142</v>
      </c>
      <c r="T23" s="100"/>
      <c r="U23" s="100"/>
    </row>
    <row r="24" spans="2:21" ht="18" customHeight="1" x14ac:dyDescent="0.45">
      <c r="B24" s="91">
        <v>46221</v>
      </c>
      <c r="C24" s="91"/>
      <c r="D24" s="92" t="s">
        <v>147</v>
      </c>
      <c r="E24" s="92"/>
      <c r="F24" s="92"/>
      <c r="G24" s="92"/>
      <c r="H24" s="92" t="s">
        <v>53</v>
      </c>
      <c r="I24" s="92"/>
      <c r="J24" s="92"/>
      <c r="K24" s="84">
        <v>750000</v>
      </c>
      <c r="L24" s="84"/>
      <c r="M24" s="84"/>
      <c r="N24" s="101">
        <v>187500</v>
      </c>
      <c r="O24" s="101"/>
      <c r="P24" s="101"/>
      <c r="Q24" s="102">
        <f t="shared" si="0"/>
        <v>0.25</v>
      </c>
      <c r="R24" s="102"/>
      <c r="S24" s="103" t="s">
        <v>144</v>
      </c>
      <c r="T24" s="103"/>
      <c r="U24" s="103"/>
    </row>
    <row r="25" spans="2:21" ht="18" customHeight="1" x14ac:dyDescent="0.45">
      <c r="B25" s="89">
        <v>46224</v>
      </c>
      <c r="C25" s="89"/>
      <c r="D25" s="90" t="s">
        <v>148</v>
      </c>
      <c r="E25" s="90"/>
      <c r="F25" s="90"/>
      <c r="G25" s="90"/>
      <c r="H25" s="90" t="s">
        <v>39</v>
      </c>
      <c r="I25" s="90"/>
      <c r="J25" s="90"/>
      <c r="K25" s="85">
        <v>620000</v>
      </c>
      <c r="L25" s="85"/>
      <c r="M25" s="85"/>
      <c r="N25" s="107">
        <v>155000</v>
      </c>
      <c r="O25" s="107"/>
      <c r="P25" s="107"/>
      <c r="Q25" s="99">
        <f t="shared" si="0"/>
        <v>0.25</v>
      </c>
      <c r="R25" s="99"/>
      <c r="S25" s="100" t="s">
        <v>140</v>
      </c>
      <c r="T25" s="100"/>
      <c r="U25" s="100"/>
    </row>
    <row r="26" spans="2:21" ht="18" customHeight="1" x14ac:dyDescent="0.45">
      <c r="B26" s="91">
        <v>46227</v>
      </c>
      <c r="C26" s="91"/>
      <c r="D26" s="92" t="s">
        <v>149</v>
      </c>
      <c r="E26" s="92"/>
      <c r="F26" s="92"/>
      <c r="G26" s="92"/>
      <c r="H26" s="92" t="s">
        <v>50</v>
      </c>
      <c r="I26" s="92"/>
      <c r="J26" s="92"/>
      <c r="K26" s="84">
        <v>530000</v>
      </c>
      <c r="L26" s="84"/>
      <c r="M26" s="84"/>
      <c r="N26" s="101">
        <v>132500</v>
      </c>
      <c r="O26" s="101"/>
      <c r="P26" s="101"/>
      <c r="Q26" s="102">
        <f t="shared" si="0"/>
        <v>0.25</v>
      </c>
      <c r="R26" s="102"/>
      <c r="S26" s="103" t="s">
        <v>142</v>
      </c>
      <c r="T26" s="103"/>
      <c r="U26" s="103"/>
    </row>
    <row r="27" spans="2:21" ht="18" customHeight="1" x14ac:dyDescent="0.45">
      <c r="B27" s="89">
        <v>46230</v>
      </c>
      <c r="C27" s="89"/>
      <c r="D27" s="90" t="s">
        <v>150</v>
      </c>
      <c r="E27" s="90"/>
      <c r="F27" s="90"/>
      <c r="G27" s="90"/>
      <c r="H27" s="90" t="s">
        <v>58</v>
      </c>
      <c r="I27" s="90"/>
      <c r="J27" s="90"/>
      <c r="K27" s="85">
        <v>880000</v>
      </c>
      <c r="L27" s="85"/>
      <c r="M27" s="85"/>
      <c r="N27" s="107">
        <v>220000</v>
      </c>
      <c r="O27" s="107"/>
      <c r="P27" s="107"/>
      <c r="Q27" s="99">
        <f t="shared" si="0"/>
        <v>0.25</v>
      </c>
      <c r="R27" s="99"/>
      <c r="S27" s="100" t="s">
        <v>144</v>
      </c>
      <c r="T27" s="100"/>
      <c r="U27" s="100"/>
    </row>
    <row r="28" spans="2:21" ht="18" customHeight="1" x14ac:dyDescent="0.45">
      <c r="B28" s="91">
        <v>46233</v>
      </c>
      <c r="C28" s="91"/>
      <c r="D28" s="92" t="s">
        <v>151</v>
      </c>
      <c r="E28" s="92"/>
      <c r="F28" s="92"/>
      <c r="G28" s="92"/>
      <c r="H28" s="92" t="s">
        <v>41</v>
      </c>
      <c r="I28" s="92"/>
      <c r="J28" s="92"/>
      <c r="K28" s="84">
        <v>450000</v>
      </c>
      <c r="L28" s="84"/>
      <c r="M28" s="84"/>
      <c r="N28" s="101">
        <v>112500</v>
      </c>
      <c r="O28" s="101"/>
      <c r="P28" s="101"/>
      <c r="Q28" s="102">
        <f t="shared" si="0"/>
        <v>0.25</v>
      </c>
      <c r="R28" s="102"/>
      <c r="S28" s="103" t="s">
        <v>140</v>
      </c>
      <c r="T28" s="103"/>
      <c r="U28" s="103"/>
    </row>
    <row r="29" spans="2:21" ht="18" customHeight="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ht="18" customHeight="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ht="18" customHeight="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ht="18" customHeight="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ht="18" customHeight="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ht="18" customHeight="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ht="18" customHeight="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ht="18" customHeight="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ht="18" customHeight="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ht="18" customHeight="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ht="18" customHeight="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ht="18" customHeight="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ht="18" customHeight="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ht="18" customHeight="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SUM(K14:K28)</f>
        <v>11720000</v>
      </c>
      <c r="L42" s="39"/>
      <c r="M42" s="39"/>
      <c r="N42" s="104">
        <f>SUM(N14:N28)</f>
        <v>2930000</v>
      </c>
      <c r="O42" s="104"/>
      <c r="P42" s="104"/>
      <c r="Q42" s="105">
        <f>IF(K42=0,"",N42/K42)</f>
        <v>0.25</v>
      </c>
      <c r="R42" s="105"/>
      <c r="S42" s="106"/>
      <c r="T42" s="106"/>
      <c r="U42" s="106"/>
    </row>
  </sheetData>
  <mergeCells count="227">
    <mergeCell ref="N27:P27"/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D42:G42"/>
    <mergeCell ref="H42:J42"/>
    <mergeCell ref="N22:P22"/>
    <mergeCell ref="Q22:R22"/>
    <mergeCell ref="S22:U22"/>
    <mergeCell ref="B26:C26"/>
    <mergeCell ref="D26:G26"/>
    <mergeCell ref="H26:J26"/>
    <mergeCell ref="K26:M26"/>
    <mergeCell ref="B25:C25"/>
    <mergeCell ref="D25:G25"/>
    <mergeCell ref="H25:J25"/>
    <mergeCell ref="K25:M25"/>
    <mergeCell ref="N26:P26"/>
    <mergeCell ref="Q26:R26"/>
    <mergeCell ref="S26:U26"/>
    <mergeCell ref="B21:C21"/>
    <mergeCell ref="D21:G21"/>
    <mergeCell ref="H21:J21"/>
    <mergeCell ref="K21:M21"/>
    <mergeCell ref="B20:C20"/>
    <mergeCell ref="D20:G20"/>
    <mergeCell ref="H20:J20"/>
    <mergeCell ref="K20:M20"/>
    <mergeCell ref="B24:C24"/>
    <mergeCell ref="K24:M24"/>
    <mergeCell ref="D24:G24"/>
    <mergeCell ref="H24:J24"/>
    <mergeCell ref="B23:C23"/>
    <mergeCell ref="D23:G23"/>
    <mergeCell ref="H23:J23"/>
    <mergeCell ref="K23:M23"/>
    <mergeCell ref="B22:C22"/>
    <mergeCell ref="D22:G22"/>
    <mergeCell ref="H22:J22"/>
    <mergeCell ref="K22:M22"/>
    <mergeCell ref="Q13:R13"/>
    <mergeCell ref="S13:U13"/>
    <mergeCell ref="N14:P14"/>
    <mergeCell ref="Q14:R14"/>
    <mergeCell ref="S14:U14"/>
    <mergeCell ref="D19:G19"/>
    <mergeCell ref="H19:J19"/>
    <mergeCell ref="B8:D8"/>
    <mergeCell ref="B19:C19"/>
    <mergeCell ref="K19:M19"/>
    <mergeCell ref="B12:D12"/>
    <mergeCell ref="B13:C13"/>
    <mergeCell ref="D13:G13"/>
    <mergeCell ref="H13:J13"/>
    <mergeCell ref="K13:M13"/>
    <mergeCell ref="B14:C14"/>
    <mergeCell ref="D14:G14"/>
    <mergeCell ref="H14:J14"/>
    <mergeCell ref="K14:M14"/>
    <mergeCell ref="N13:P13"/>
    <mergeCell ref="B15:C15"/>
    <mergeCell ref="D15:G15"/>
    <mergeCell ref="H15:J15"/>
    <mergeCell ref="K15:M15"/>
    <mergeCell ref="N15:P15"/>
    <mergeCell ref="Q15:R15"/>
    <mergeCell ref="S15:U15"/>
    <mergeCell ref="N16:P16"/>
    <mergeCell ref="Q16:R16"/>
    <mergeCell ref="S16:U16"/>
    <mergeCell ref="Q17:R17"/>
    <mergeCell ref="S17:U17"/>
    <mergeCell ref="N18:P18"/>
    <mergeCell ref="Q18:R18"/>
    <mergeCell ref="S18:U18"/>
    <mergeCell ref="B16:C16"/>
    <mergeCell ref="D16:G16"/>
    <mergeCell ref="H16:J16"/>
    <mergeCell ref="K16:M16"/>
    <mergeCell ref="B18:C18"/>
    <mergeCell ref="D18:G18"/>
    <mergeCell ref="H18:J18"/>
    <mergeCell ref="K18:M18"/>
    <mergeCell ref="B17:C17"/>
    <mergeCell ref="D17:G17"/>
    <mergeCell ref="H17:J17"/>
    <mergeCell ref="K17:M17"/>
    <mergeCell ref="N17:P17"/>
    <mergeCell ref="B9:E9"/>
    <mergeCell ref="F9:I9"/>
    <mergeCell ref="J9:M9"/>
    <mergeCell ref="N9:Q9"/>
    <mergeCell ref="R9:U9"/>
    <mergeCell ref="B10:E10"/>
    <mergeCell ref="F10:I10"/>
    <mergeCell ref="J10:M10"/>
    <mergeCell ref="N10:Q10"/>
    <mergeCell ref="R10:U10"/>
    <mergeCell ref="N19:P19"/>
    <mergeCell ref="Q19:R19"/>
    <mergeCell ref="S19:U19"/>
    <mergeCell ref="N20:P20"/>
    <mergeCell ref="Q20:R20"/>
    <mergeCell ref="S20:U20"/>
    <mergeCell ref="N21:P21"/>
    <mergeCell ref="Q21:R21"/>
    <mergeCell ref="S21:U21"/>
    <mergeCell ref="N23:P23"/>
    <mergeCell ref="Q23:R23"/>
    <mergeCell ref="S23:U23"/>
    <mergeCell ref="N24:P24"/>
    <mergeCell ref="Q24:R24"/>
    <mergeCell ref="S24:U24"/>
    <mergeCell ref="N25:P25"/>
    <mergeCell ref="Q25:R25"/>
    <mergeCell ref="S25:U25"/>
    <mergeCell ref="Q27:R27"/>
    <mergeCell ref="S27:U27"/>
    <mergeCell ref="N28:P28"/>
    <mergeCell ref="Q28:R28"/>
    <mergeCell ref="S28:U28"/>
    <mergeCell ref="N42:P42"/>
    <mergeCell ref="Q42:R42"/>
    <mergeCell ref="S42:U42"/>
    <mergeCell ref="B29:C29"/>
    <mergeCell ref="D29:G29"/>
    <mergeCell ref="H29:J29"/>
    <mergeCell ref="K29:M29"/>
    <mergeCell ref="N29:P29"/>
    <mergeCell ref="Q29:R29"/>
    <mergeCell ref="S29:U29"/>
    <mergeCell ref="B30:C30"/>
    <mergeCell ref="D30:G30"/>
    <mergeCell ref="H30:J30"/>
    <mergeCell ref="K30:M30"/>
    <mergeCell ref="N30:P30"/>
    <mergeCell ref="Q30:R30"/>
    <mergeCell ref="S30:U30"/>
    <mergeCell ref="B31:C31"/>
    <mergeCell ref="D31:G31"/>
    <mergeCell ref="H31:J31"/>
    <mergeCell ref="K31:M31"/>
    <mergeCell ref="N31:P31"/>
    <mergeCell ref="Q31:R31"/>
    <mergeCell ref="S31:U31"/>
    <mergeCell ref="B32:C32"/>
    <mergeCell ref="D32:G32"/>
    <mergeCell ref="H32:J32"/>
    <mergeCell ref="K32:M32"/>
    <mergeCell ref="N32:P32"/>
    <mergeCell ref="Q32:R32"/>
    <mergeCell ref="S32:U32"/>
    <mergeCell ref="B33:C33"/>
    <mergeCell ref="D33:G33"/>
    <mergeCell ref="H33:J33"/>
    <mergeCell ref="K33:M33"/>
    <mergeCell ref="N33:P33"/>
    <mergeCell ref="Q33:R33"/>
    <mergeCell ref="S33:U33"/>
    <mergeCell ref="B34:C34"/>
    <mergeCell ref="D34:G34"/>
    <mergeCell ref="H34:J34"/>
    <mergeCell ref="K34:M34"/>
    <mergeCell ref="N34:P34"/>
    <mergeCell ref="Q34:R34"/>
    <mergeCell ref="S34:U34"/>
    <mergeCell ref="B35:C35"/>
    <mergeCell ref="D35:G35"/>
    <mergeCell ref="H35:J35"/>
    <mergeCell ref="K35:M35"/>
    <mergeCell ref="N35:P35"/>
    <mergeCell ref="Q35:R35"/>
    <mergeCell ref="S35:U35"/>
    <mergeCell ref="B36:C36"/>
    <mergeCell ref="D36:G36"/>
    <mergeCell ref="H36:J36"/>
    <mergeCell ref="K36:M36"/>
    <mergeCell ref="N36:P36"/>
    <mergeCell ref="Q36:R36"/>
    <mergeCell ref="S36:U36"/>
    <mergeCell ref="Q40:R40"/>
    <mergeCell ref="S40:U40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41:C41"/>
    <mergeCell ref="D41:G41"/>
    <mergeCell ref="H41:J41"/>
    <mergeCell ref="K41:M41"/>
    <mergeCell ref="N41:P41"/>
    <mergeCell ref="Q41:R41"/>
    <mergeCell ref="S41:U41"/>
    <mergeCell ref="B1:U1"/>
    <mergeCell ref="B2:U3"/>
    <mergeCell ref="B4:U4"/>
    <mergeCell ref="E5:Q5"/>
    <mergeCell ref="B6:U6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</mergeCells>
  <phoneticPr fontId="3"/>
  <pageMargins left="0.7" right="0.7" top="0.75" bottom="0.75" header="0.3" footer="0.3"/>
  <pageSetup paperSize="9" scale="8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0BA1-FFF7-47FF-84F7-20A8F213DB94}">
  <sheetPr>
    <pageSetUpPr fitToPage="1"/>
  </sheetPr>
  <dimension ref="B1:U42"/>
  <sheetViews>
    <sheetView view="pageBreakPreview" zoomScaleNormal="100" zoomScaleSheetLayoutView="100" workbookViewId="0">
      <selection activeCell="V18" sqref="V18"/>
    </sheetView>
  </sheetViews>
  <sheetFormatPr defaultRowHeight="18" x14ac:dyDescent="0.45"/>
  <cols>
    <col min="1" max="1" width="0.5" customWidth="1"/>
    <col min="2" max="21" width="4.5" customWidth="1"/>
  </cols>
  <sheetData>
    <row r="1" spans="2:21" ht="6" customHeight="1" x14ac:dyDescent="0.45">
      <c r="B1" s="2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2:21" ht="22.05" customHeight="1" x14ac:dyDescent="0.45">
      <c r="B2" s="93" t="s">
        <v>173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ht="22.05" customHeight="1" x14ac:dyDescent="0.4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ht="19.95" customHeight="1" x14ac:dyDescent="0.45">
      <c r="B4" s="94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1" ht="10.050000000000001" customHeight="1" x14ac:dyDescent="0.45"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1" ht="4.05" customHeight="1" x14ac:dyDescent="0.45"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8" spans="2:21" x14ac:dyDescent="0.45">
      <c r="B8" s="47" t="s">
        <v>26</v>
      </c>
      <c r="C8" s="29"/>
      <c r="D8" s="29"/>
    </row>
    <row r="9" spans="2:21" ht="22.05" customHeight="1" x14ac:dyDescent="0.45">
      <c r="B9" s="44" t="s">
        <v>6</v>
      </c>
      <c r="C9" s="44"/>
      <c r="D9" s="44"/>
      <c r="E9" s="44"/>
      <c r="F9" s="44" t="s">
        <v>18</v>
      </c>
      <c r="G9" s="44"/>
      <c r="H9" s="44"/>
      <c r="I9" s="44"/>
      <c r="J9" s="44" t="s">
        <v>3</v>
      </c>
      <c r="K9" s="44"/>
      <c r="L9" s="44"/>
      <c r="M9" s="44"/>
      <c r="N9" s="44" t="s">
        <v>9</v>
      </c>
      <c r="O9" s="44"/>
      <c r="P9" s="44"/>
      <c r="Q9" s="44"/>
      <c r="R9" s="44" t="s">
        <v>19</v>
      </c>
      <c r="S9" s="44"/>
      <c r="T9" s="44"/>
      <c r="U9" s="44"/>
    </row>
    <row r="10" spans="2:21" ht="25.95" customHeight="1" x14ac:dyDescent="0.45">
      <c r="B10" s="97">
        <f>K42</f>
        <v>11310000</v>
      </c>
      <c r="C10" s="97"/>
      <c r="D10" s="97"/>
      <c r="E10" s="97"/>
      <c r="F10" s="97">
        <v>10470000</v>
      </c>
      <c r="G10" s="97"/>
      <c r="H10" s="97"/>
      <c r="I10" s="97"/>
      <c r="J10" s="95">
        <f>IF(F10=0,"",B10/F10)</f>
        <v>1.0802292263610316</v>
      </c>
      <c r="K10" s="95"/>
      <c r="L10" s="95"/>
      <c r="M10" s="95"/>
      <c r="N10" s="95">
        <v>1.25</v>
      </c>
      <c r="O10" s="95"/>
      <c r="P10" s="95"/>
      <c r="Q10" s="95"/>
      <c r="R10" s="96" t="str">
        <f>IF(J10="","",IF(J10&gt;=1.05,"◎",IF(J10&gt;=1,"○",IF(J10&gt;=0.95,"△","×"))))</f>
        <v>◎</v>
      </c>
      <c r="S10" s="96"/>
      <c r="T10" s="96"/>
      <c r="U10" s="96"/>
    </row>
    <row r="12" spans="2:21" x14ac:dyDescent="0.45">
      <c r="B12" s="47" t="s">
        <v>27</v>
      </c>
      <c r="C12" s="29"/>
      <c r="D12" s="29"/>
    </row>
    <row r="13" spans="2:21" x14ac:dyDescent="0.45">
      <c r="B13" s="83" t="s">
        <v>28</v>
      </c>
      <c r="C13" s="83"/>
      <c r="D13" s="83" t="s">
        <v>29</v>
      </c>
      <c r="E13" s="83"/>
      <c r="F13" s="83"/>
      <c r="G13" s="83"/>
      <c r="H13" s="83" t="s">
        <v>30</v>
      </c>
      <c r="I13" s="83"/>
      <c r="J13" s="83"/>
      <c r="K13" s="83" t="s">
        <v>4</v>
      </c>
      <c r="L13" s="83"/>
      <c r="M13" s="83"/>
      <c r="N13" s="108" t="s">
        <v>7</v>
      </c>
      <c r="O13" s="108"/>
      <c r="P13" s="108"/>
      <c r="Q13" s="108" t="s">
        <v>8</v>
      </c>
      <c r="R13" s="108"/>
      <c r="S13" s="108" t="s">
        <v>31</v>
      </c>
      <c r="T13" s="108"/>
      <c r="U13" s="108"/>
    </row>
    <row r="14" spans="2:21" ht="18" customHeight="1" x14ac:dyDescent="0.45">
      <c r="B14" s="91">
        <v>46206</v>
      </c>
      <c r="C14" s="91"/>
      <c r="D14" s="92" t="s">
        <v>88</v>
      </c>
      <c r="E14" s="92"/>
      <c r="F14" s="92"/>
      <c r="G14" s="92"/>
      <c r="H14" s="92" t="s">
        <v>89</v>
      </c>
      <c r="I14" s="92"/>
      <c r="J14" s="92"/>
      <c r="K14" s="84">
        <v>1200000</v>
      </c>
      <c r="L14" s="84"/>
      <c r="M14" s="84"/>
      <c r="N14" s="101">
        <v>420000</v>
      </c>
      <c r="O14" s="101"/>
      <c r="P14" s="101"/>
      <c r="Q14" s="102">
        <f t="shared" ref="Q14:Q28" si="0">IF(K14=0,"",N14/K14)</f>
        <v>0.35</v>
      </c>
      <c r="R14" s="102"/>
      <c r="S14" s="103" t="s">
        <v>90</v>
      </c>
      <c r="T14" s="103"/>
      <c r="U14" s="103"/>
    </row>
    <row r="15" spans="2:21" ht="18" customHeight="1" x14ac:dyDescent="0.45">
      <c r="B15" s="89">
        <v>46213</v>
      </c>
      <c r="C15" s="89"/>
      <c r="D15" s="90" t="s">
        <v>91</v>
      </c>
      <c r="E15" s="90"/>
      <c r="F15" s="90"/>
      <c r="G15" s="90"/>
      <c r="H15" s="90" t="s">
        <v>89</v>
      </c>
      <c r="I15" s="90"/>
      <c r="J15" s="90"/>
      <c r="K15" s="85">
        <v>1100000</v>
      </c>
      <c r="L15" s="85"/>
      <c r="M15" s="85"/>
      <c r="N15" s="107">
        <v>385000</v>
      </c>
      <c r="O15" s="107"/>
      <c r="P15" s="107"/>
      <c r="Q15" s="99">
        <f t="shared" si="0"/>
        <v>0.35</v>
      </c>
      <c r="R15" s="99"/>
      <c r="S15" s="100" t="s">
        <v>90</v>
      </c>
      <c r="T15" s="100"/>
      <c r="U15" s="100"/>
    </row>
    <row r="16" spans="2:21" ht="18" customHeight="1" x14ac:dyDescent="0.45">
      <c r="B16" s="91">
        <v>46220</v>
      </c>
      <c r="C16" s="91"/>
      <c r="D16" s="92" t="s">
        <v>92</v>
      </c>
      <c r="E16" s="92"/>
      <c r="F16" s="92"/>
      <c r="G16" s="92"/>
      <c r="H16" s="92" t="s">
        <v>89</v>
      </c>
      <c r="I16" s="92"/>
      <c r="J16" s="92"/>
      <c r="K16" s="84">
        <v>850000</v>
      </c>
      <c r="L16" s="84"/>
      <c r="M16" s="84"/>
      <c r="N16" s="101">
        <v>297500</v>
      </c>
      <c r="O16" s="101"/>
      <c r="P16" s="101"/>
      <c r="Q16" s="102">
        <f t="shared" si="0"/>
        <v>0.35</v>
      </c>
      <c r="R16" s="102"/>
      <c r="S16" s="103" t="s">
        <v>93</v>
      </c>
      <c r="T16" s="103"/>
      <c r="U16" s="103"/>
    </row>
    <row r="17" spans="2:21" ht="18" customHeight="1" x14ac:dyDescent="0.45">
      <c r="B17" s="89">
        <v>46227</v>
      </c>
      <c r="C17" s="89"/>
      <c r="D17" s="90" t="s">
        <v>94</v>
      </c>
      <c r="E17" s="90"/>
      <c r="F17" s="90"/>
      <c r="G17" s="90"/>
      <c r="H17" s="90" t="s">
        <v>89</v>
      </c>
      <c r="I17" s="90"/>
      <c r="J17" s="90"/>
      <c r="K17" s="85">
        <v>700000</v>
      </c>
      <c r="L17" s="85"/>
      <c r="M17" s="85"/>
      <c r="N17" s="107">
        <v>245000</v>
      </c>
      <c r="O17" s="107"/>
      <c r="P17" s="107"/>
      <c r="Q17" s="99">
        <f t="shared" si="0"/>
        <v>0.35</v>
      </c>
      <c r="R17" s="99"/>
      <c r="S17" s="100" t="s">
        <v>93</v>
      </c>
      <c r="T17" s="100"/>
      <c r="U17" s="100"/>
    </row>
    <row r="18" spans="2:21" ht="18" customHeight="1" x14ac:dyDescent="0.45">
      <c r="B18" s="91">
        <v>46234</v>
      </c>
      <c r="C18" s="91"/>
      <c r="D18" s="92" t="s">
        <v>95</v>
      </c>
      <c r="E18" s="92"/>
      <c r="F18" s="92"/>
      <c r="G18" s="92"/>
      <c r="H18" s="92" t="s">
        <v>89</v>
      </c>
      <c r="I18" s="92"/>
      <c r="J18" s="92"/>
      <c r="K18" s="84">
        <v>470000</v>
      </c>
      <c r="L18" s="84"/>
      <c r="M18" s="84"/>
      <c r="N18" s="101">
        <v>164500</v>
      </c>
      <c r="O18" s="101"/>
      <c r="P18" s="101"/>
      <c r="Q18" s="102">
        <f t="shared" si="0"/>
        <v>0.35</v>
      </c>
      <c r="R18" s="102"/>
      <c r="S18" s="103" t="s">
        <v>90</v>
      </c>
      <c r="T18" s="103"/>
      <c r="U18" s="103"/>
    </row>
    <row r="19" spans="2:21" ht="18" customHeight="1" x14ac:dyDescent="0.45">
      <c r="B19" s="89">
        <v>46203</v>
      </c>
      <c r="C19" s="89"/>
      <c r="D19" s="90" t="s">
        <v>152</v>
      </c>
      <c r="E19" s="90"/>
      <c r="F19" s="90"/>
      <c r="G19" s="90"/>
      <c r="H19" s="90" t="s">
        <v>153</v>
      </c>
      <c r="I19" s="90"/>
      <c r="J19" s="90"/>
      <c r="K19" s="85">
        <v>620000</v>
      </c>
      <c r="L19" s="85"/>
      <c r="M19" s="85"/>
      <c r="N19" s="107">
        <v>217000</v>
      </c>
      <c r="O19" s="107"/>
      <c r="P19" s="107"/>
      <c r="Q19" s="99">
        <f t="shared" si="0"/>
        <v>0.35</v>
      </c>
      <c r="R19" s="99"/>
      <c r="S19" s="100" t="s">
        <v>154</v>
      </c>
      <c r="T19" s="100"/>
      <c r="U19" s="100"/>
    </row>
    <row r="20" spans="2:21" ht="18" customHeight="1" x14ac:dyDescent="0.45">
      <c r="B20" s="91">
        <v>46207</v>
      </c>
      <c r="C20" s="91"/>
      <c r="D20" s="92" t="s">
        <v>155</v>
      </c>
      <c r="E20" s="92"/>
      <c r="F20" s="92"/>
      <c r="G20" s="92"/>
      <c r="H20" s="92" t="s">
        <v>156</v>
      </c>
      <c r="I20" s="92"/>
      <c r="J20" s="92"/>
      <c r="K20" s="84">
        <v>850000</v>
      </c>
      <c r="L20" s="84"/>
      <c r="M20" s="84"/>
      <c r="N20" s="101">
        <v>297500</v>
      </c>
      <c r="O20" s="101"/>
      <c r="P20" s="101"/>
      <c r="Q20" s="102">
        <f t="shared" si="0"/>
        <v>0.35</v>
      </c>
      <c r="R20" s="102"/>
      <c r="S20" s="103" t="s">
        <v>157</v>
      </c>
      <c r="T20" s="103"/>
      <c r="U20" s="103"/>
    </row>
    <row r="21" spans="2:21" ht="18" customHeight="1" x14ac:dyDescent="0.45">
      <c r="B21" s="89">
        <v>46210</v>
      </c>
      <c r="C21" s="89"/>
      <c r="D21" s="90" t="s">
        <v>158</v>
      </c>
      <c r="E21" s="90"/>
      <c r="F21" s="90"/>
      <c r="G21" s="90"/>
      <c r="H21" s="90" t="s">
        <v>159</v>
      </c>
      <c r="I21" s="90"/>
      <c r="J21" s="90"/>
      <c r="K21" s="85">
        <v>480000</v>
      </c>
      <c r="L21" s="85"/>
      <c r="M21" s="85"/>
      <c r="N21" s="107">
        <v>168000</v>
      </c>
      <c r="O21" s="107"/>
      <c r="P21" s="107"/>
      <c r="Q21" s="99">
        <f t="shared" si="0"/>
        <v>0.35</v>
      </c>
      <c r="R21" s="99"/>
      <c r="S21" s="100" t="s">
        <v>160</v>
      </c>
      <c r="T21" s="100"/>
      <c r="U21" s="100"/>
    </row>
    <row r="22" spans="2:21" ht="18" customHeight="1" x14ac:dyDescent="0.45">
      <c r="B22" s="91">
        <v>46214</v>
      </c>
      <c r="C22" s="91"/>
      <c r="D22" s="92" t="s">
        <v>161</v>
      </c>
      <c r="E22" s="92"/>
      <c r="F22" s="92"/>
      <c r="G22" s="92"/>
      <c r="H22" s="92" t="s">
        <v>162</v>
      </c>
      <c r="I22" s="92"/>
      <c r="J22" s="92"/>
      <c r="K22" s="84">
        <v>720000</v>
      </c>
      <c r="L22" s="84"/>
      <c r="M22" s="84"/>
      <c r="N22" s="101">
        <v>252000</v>
      </c>
      <c r="O22" s="101"/>
      <c r="P22" s="101"/>
      <c r="Q22" s="102">
        <f t="shared" si="0"/>
        <v>0.35</v>
      </c>
      <c r="R22" s="102"/>
      <c r="S22" s="103" t="s">
        <v>154</v>
      </c>
      <c r="T22" s="103"/>
      <c r="U22" s="103"/>
    </row>
    <row r="23" spans="2:21" ht="18" customHeight="1" x14ac:dyDescent="0.45">
      <c r="B23" s="89">
        <v>46217</v>
      </c>
      <c r="C23" s="89"/>
      <c r="D23" s="90" t="s">
        <v>163</v>
      </c>
      <c r="E23" s="90"/>
      <c r="F23" s="90"/>
      <c r="G23" s="90"/>
      <c r="H23" s="90" t="s">
        <v>153</v>
      </c>
      <c r="I23" s="90"/>
      <c r="J23" s="90"/>
      <c r="K23" s="85">
        <v>550000</v>
      </c>
      <c r="L23" s="85"/>
      <c r="M23" s="85"/>
      <c r="N23" s="107">
        <v>192500</v>
      </c>
      <c r="O23" s="107"/>
      <c r="P23" s="107"/>
      <c r="Q23" s="99">
        <f t="shared" si="0"/>
        <v>0.35</v>
      </c>
      <c r="R23" s="99"/>
      <c r="S23" s="100" t="s">
        <v>157</v>
      </c>
      <c r="T23" s="100"/>
      <c r="U23" s="100"/>
    </row>
    <row r="24" spans="2:21" ht="18" customHeight="1" x14ac:dyDescent="0.45">
      <c r="B24" s="91">
        <v>46221</v>
      </c>
      <c r="C24" s="91"/>
      <c r="D24" s="92" t="s">
        <v>164</v>
      </c>
      <c r="E24" s="92"/>
      <c r="F24" s="92"/>
      <c r="G24" s="92"/>
      <c r="H24" s="92" t="s">
        <v>165</v>
      </c>
      <c r="I24" s="92"/>
      <c r="J24" s="92"/>
      <c r="K24" s="84">
        <v>980000</v>
      </c>
      <c r="L24" s="84"/>
      <c r="M24" s="84"/>
      <c r="N24" s="101">
        <v>343000</v>
      </c>
      <c r="O24" s="101"/>
      <c r="P24" s="101"/>
      <c r="Q24" s="102">
        <f t="shared" si="0"/>
        <v>0.35</v>
      </c>
      <c r="R24" s="102"/>
      <c r="S24" s="103" t="s">
        <v>160</v>
      </c>
      <c r="T24" s="103"/>
      <c r="U24" s="103"/>
    </row>
    <row r="25" spans="2:21" ht="18" customHeight="1" x14ac:dyDescent="0.45">
      <c r="B25" s="89">
        <v>46224</v>
      </c>
      <c r="C25" s="89"/>
      <c r="D25" s="90" t="s">
        <v>166</v>
      </c>
      <c r="E25" s="90"/>
      <c r="F25" s="90"/>
      <c r="G25" s="90"/>
      <c r="H25" s="90" t="s">
        <v>159</v>
      </c>
      <c r="I25" s="90"/>
      <c r="J25" s="90"/>
      <c r="K25" s="85">
        <v>420000</v>
      </c>
      <c r="L25" s="85"/>
      <c r="M25" s="85"/>
      <c r="N25" s="107">
        <v>147000</v>
      </c>
      <c r="O25" s="107"/>
      <c r="P25" s="107"/>
      <c r="Q25" s="99">
        <f t="shared" si="0"/>
        <v>0.35</v>
      </c>
      <c r="R25" s="99"/>
      <c r="S25" s="100" t="s">
        <v>154</v>
      </c>
      <c r="T25" s="100"/>
      <c r="U25" s="100"/>
    </row>
    <row r="26" spans="2:21" ht="18" customHeight="1" x14ac:dyDescent="0.45">
      <c r="B26" s="91">
        <v>46227</v>
      </c>
      <c r="C26" s="91"/>
      <c r="D26" s="92" t="s">
        <v>167</v>
      </c>
      <c r="E26" s="92"/>
      <c r="F26" s="92"/>
      <c r="G26" s="92"/>
      <c r="H26" s="92" t="s">
        <v>156</v>
      </c>
      <c r="I26" s="92"/>
      <c r="J26" s="92"/>
      <c r="K26" s="84">
        <v>680000</v>
      </c>
      <c r="L26" s="84"/>
      <c r="M26" s="84"/>
      <c r="N26" s="101">
        <v>238000</v>
      </c>
      <c r="O26" s="101"/>
      <c r="P26" s="101"/>
      <c r="Q26" s="102">
        <f t="shared" si="0"/>
        <v>0.35</v>
      </c>
      <c r="R26" s="102"/>
      <c r="S26" s="103" t="s">
        <v>157</v>
      </c>
      <c r="T26" s="103"/>
      <c r="U26" s="103"/>
    </row>
    <row r="27" spans="2:21" ht="18" customHeight="1" x14ac:dyDescent="0.45">
      <c r="B27" s="89">
        <v>46230</v>
      </c>
      <c r="C27" s="89"/>
      <c r="D27" s="90" t="s">
        <v>168</v>
      </c>
      <c r="E27" s="90"/>
      <c r="F27" s="90"/>
      <c r="G27" s="90"/>
      <c r="H27" s="90" t="s">
        <v>162</v>
      </c>
      <c r="I27" s="90"/>
      <c r="J27" s="90"/>
      <c r="K27" s="85">
        <v>590000</v>
      </c>
      <c r="L27" s="85"/>
      <c r="M27" s="85"/>
      <c r="N27" s="107">
        <v>206500</v>
      </c>
      <c r="O27" s="107"/>
      <c r="P27" s="107"/>
      <c r="Q27" s="99">
        <f t="shared" si="0"/>
        <v>0.35</v>
      </c>
      <c r="R27" s="99"/>
      <c r="S27" s="100" t="s">
        <v>160</v>
      </c>
      <c r="T27" s="100"/>
      <c r="U27" s="100"/>
    </row>
    <row r="28" spans="2:21" ht="18" customHeight="1" x14ac:dyDescent="0.45">
      <c r="B28" s="91">
        <v>46233</v>
      </c>
      <c r="C28" s="91"/>
      <c r="D28" s="92" t="s">
        <v>169</v>
      </c>
      <c r="E28" s="92"/>
      <c r="F28" s="92"/>
      <c r="G28" s="92"/>
      <c r="H28" s="92" t="s">
        <v>58</v>
      </c>
      <c r="I28" s="92"/>
      <c r="J28" s="92"/>
      <c r="K28" s="84">
        <v>1100000</v>
      </c>
      <c r="L28" s="84"/>
      <c r="M28" s="84"/>
      <c r="N28" s="101">
        <v>385000</v>
      </c>
      <c r="O28" s="101"/>
      <c r="P28" s="101"/>
      <c r="Q28" s="102">
        <f t="shared" si="0"/>
        <v>0.35</v>
      </c>
      <c r="R28" s="102"/>
      <c r="S28" s="103" t="s">
        <v>154</v>
      </c>
      <c r="T28" s="103"/>
      <c r="U28" s="103"/>
    </row>
    <row r="29" spans="2:21" ht="18" customHeight="1" x14ac:dyDescent="0.45">
      <c r="B29" s="68"/>
      <c r="C29" s="69"/>
      <c r="D29" s="70"/>
      <c r="E29" s="71"/>
      <c r="F29" s="71"/>
      <c r="G29" s="72"/>
      <c r="H29" s="70"/>
      <c r="I29" s="71"/>
      <c r="J29" s="72"/>
      <c r="K29" s="73"/>
      <c r="L29" s="74"/>
      <c r="M29" s="75"/>
      <c r="N29" s="73"/>
      <c r="O29" s="74"/>
      <c r="P29" s="75"/>
      <c r="Q29" s="76"/>
      <c r="R29" s="77"/>
      <c r="S29" s="78"/>
      <c r="T29" s="79"/>
      <c r="U29" s="80"/>
    </row>
    <row r="30" spans="2:21" ht="18" customHeight="1" x14ac:dyDescent="0.45">
      <c r="B30" s="55"/>
      <c r="C30" s="56"/>
      <c r="D30" s="57"/>
      <c r="E30" s="58"/>
      <c r="F30" s="58"/>
      <c r="G30" s="59"/>
      <c r="H30" s="57"/>
      <c r="I30" s="58"/>
      <c r="J30" s="59"/>
      <c r="K30" s="60"/>
      <c r="L30" s="61"/>
      <c r="M30" s="62"/>
      <c r="N30" s="60"/>
      <c r="O30" s="61"/>
      <c r="P30" s="62"/>
      <c r="Q30" s="63"/>
      <c r="R30" s="64"/>
      <c r="S30" s="65"/>
      <c r="T30" s="66"/>
      <c r="U30" s="67"/>
    </row>
    <row r="31" spans="2:21" ht="18" customHeight="1" x14ac:dyDescent="0.45">
      <c r="B31" s="68"/>
      <c r="C31" s="69"/>
      <c r="D31" s="70"/>
      <c r="E31" s="71"/>
      <c r="F31" s="71"/>
      <c r="G31" s="72"/>
      <c r="H31" s="70"/>
      <c r="I31" s="71"/>
      <c r="J31" s="72"/>
      <c r="K31" s="73"/>
      <c r="L31" s="74"/>
      <c r="M31" s="75"/>
      <c r="N31" s="73"/>
      <c r="O31" s="74"/>
      <c r="P31" s="75"/>
      <c r="Q31" s="76"/>
      <c r="R31" s="77"/>
      <c r="S31" s="78"/>
      <c r="T31" s="79"/>
      <c r="U31" s="80"/>
    </row>
    <row r="32" spans="2:21" ht="18" customHeight="1" x14ac:dyDescent="0.45">
      <c r="B32" s="55"/>
      <c r="C32" s="56"/>
      <c r="D32" s="57"/>
      <c r="E32" s="58"/>
      <c r="F32" s="58"/>
      <c r="G32" s="59"/>
      <c r="H32" s="57"/>
      <c r="I32" s="58"/>
      <c r="J32" s="59"/>
      <c r="K32" s="60"/>
      <c r="L32" s="61"/>
      <c r="M32" s="62"/>
      <c r="N32" s="60"/>
      <c r="O32" s="61"/>
      <c r="P32" s="62"/>
      <c r="Q32" s="63"/>
      <c r="R32" s="64"/>
      <c r="S32" s="65"/>
      <c r="T32" s="66"/>
      <c r="U32" s="67"/>
    </row>
    <row r="33" spans="2:21" ht="18" customHeight="1" x14ac:dyDescent="0.45">
      <c r="B33" s="89"/>
      <c r="C33" s="89"/>
      <c r="D33" s="90"/>
      <c r="E33" s="90"/>
      <c r="F33" s="90"/>
      <c r="G33" s="90"/>
      <c r="H33" s="90"/>
      <c r="I33" s="90"/>
      <c r="J33" s="90"/>
      <c r="K33" s="85"/>
      <c r="L33" s="85"/>
      <c r="M33" s="85"/>
      <c r="N33" s="85"/>
      <c r="O33" s="85"/>
      <c r="P33" s="85"/>
      <c r="Q33" s="81"/>
      <c r="R33" s="81"/>
      <c r="S33" s="87"/>
      <c r="T33" s="87"/>
      <c r="U33" s="87"/>
    </row>
    <row r="34" spans="2:21" ht="18" customHeight="1" x14ac:dyDescent="0.45">
      <c r="B34" s="91"/>
      <c r="C34" s="91"/>
      <c r="D34" s="92"/>
      <c r="E34" s="92"/>
      <c r="F34" s="92"/>
      <c r="G34" s="92"/>
      <c r="H34" s="92"/>
      <c r="I34" s="92"/>
      <c r="J34" s="92"/>
      <c r="K34" s="84"/>
      <c r="L34" s="84"/>
      <c r="M34" s="84"/>
      <c r="N34" s="84"/>
      <c r="O34" s="84"/>
      <c r="P34" s="84"/>
      <c r="Q34" s="82"/>
      <c r="R34" s="82"/>
      <c r="S34" s="86"/>
      <c r="T34" s="86"/>
      <c r="U34" s="86"/>
    </row>
    <row r="35" spans="2:21" ht="18" customHeight="1" x14ac:dyDescent="0.45">
      <c r="B35" s="68"/>
      <c r="C35" s="69"/>
      <c r="D35" s="70"/>
      <c r="E35" s="71"/>
      <c r="F35" s="71"/>
      <c r="G35" s="72"/>
      <c r="H35" s="70"/>
      <c r="I35" s="71"/>
      <c r="J35" s="72"/>
      <c r="K35" s="73"/>
      <c r="L35" s="74"/>
      <c r="M35" s="75"/>
      <c r="N35" s="73"/>
      <c r="O35" s="74"/>
      <c r="P35" s="75"/>
      <c r="Q35" s="76"/>
      <c r="R35" s="77"/>
      <c r="S35" s="78"/>
      <c r="T35" s="79"/>
      <c r="U35" s="80"/>
    </row>
    <row r="36" spans="2:21" ht="18" customHeight="1" x14ac:dyDescent="0.45">
      <c r="B36" s="55"/>
      <c r="C36" s="56"/>
      <c r="D36" s="57"/>
      <c r="E36" s="58"/>
      <c r="F36" s="58"/>
      <c r="G36" s="59"/>
      <c r="H36" s="57"/>
      <c r="I36" s="58"/>
      <c r="J36" s="59"/>
      <c r="K36" s="60"/>
      <c r="L36" s="61"/>
      <c r="M36" s="62"/>
      <c r="N36" s="60"/>
      <c r="O36" s="61"/>
      <c r="P36" s="62"/>
      <c r="Q36" s="63"/>
      <c r="R36" s="64"/>
      <c r="S36" s="65"/>
      <c r="T36" s="66"/>
      <c r="U36" s="67"/>
    </row>
    <row r="37" spans="2:21" ht="18" customHeight="1" x14ac:dyDescent="0.45">
      <c r="B37" s="68"/>
      <c r="C37" s="69"/>
      <c r="D37" s="70"/>
      <c r="E37" s="71"/>
      <c r="F37" s="71"/>
      <c r="G37" s="72"/>
      <c r="H37" s="70"/>
      <c r="I37" s="71"/>
      <c r="J37" s="72"/>
      <c r="K37" s="73"/>
      <c r="L37" s="74"/>
      <c r="M37" s="75"/>
      <c r="N37" s="73"/>
      <c r="O37" s="74"/>
      <c r="P37" s="75"/>
      <c r="Q37" s="76"/>
      <c r="R37" s="77"/>
      <c r="S37" s="78"/>
      <c r="T37" s="79"/>
      <c r="U37" s="80"/>
    </row>
    <row r="38" spans="2:21" ht="18" customHeight="1" x14ac:dyDescent="0.45">
      <c r="B38" s="55"/>
      <c r="C38" s="56"/>
      <c r="D38" s="57"/>
      <c r="E38" s="58"/>
      <c r="F38" s="58"/>
      <c r="G38" s="59"/>
      <c r="H38" s="57"/>
      <c r="I38" s="58"/>
      <c r="J38" s="59"/>
      <c r="K38" s="60"/>
      <c r="L38" s="61"/>
      <c r="M38" s="62"/>
      <c r="N38" s="60"/>
      <c r="O38" s="61"/>
      <c r="P38" s="62"/>
      <c r="Q38" s="63"/>
      <c r="R38" s="64"/>
      <c r="S38" s="65"/>
      <c r="T38" s="66"/>
      <c r="U38" s="67"/>
    </row>
    <row r="39" spans="2:21" ht="18" customHeight="1" x14ac:dyDescent="0.45">
      <c r="B39" s="68"/>
      <c r="C39" s="69"/>
      <c r="D39" s="70"/>
      <c r="E39" s="71"/>
      <c r="F39" s="71"/>
      <c r="G39" s="72"/>
      <c r="H39" s="70"/>
      <c r="I39" s="71"/>
      <c r="J39" s="72"/>
      <c r="K39" s="73"/>
      <c r="L39" s="74"/>
      <c r="M39" s="75"/>
      <c r="N39" s="73"/>
      <c r="O39" s="74"/>
      <c r="P39" s="75"/>
      <c r="Q39" s="76"/>
      <c r="R39" s="77"/>
      <c r="S39" s="78"/>
      <c r="T39" s="79"/>
      <c r="U39" s="80"/>
    </row>
    <row r="40" spans="2:21" ht="18" customHeight="1" x14ac:dyDescent="0.45">
      <c r="B40" s="55"/>
      <c r="C40" s="56"/>
      <c r="D40" s="57"/>
      <c r="E40" s="58"/>
      <c r="F40" s="58"/>
      <c r="G40" s="59"/>
      <c r="H40" s="57"/>
      <c r="I40" s="58"/>
      <c r="J40" s="59"/>
      <c r="K40" s="60"/>
      <c r="L40" s="61"/>
      <c r="M40" s="62"/>
      <c r="N40" s="60"/>
      <c r="O40" s="61"/>
      <c r="P40" s="62"/>
      <c r="Q40" s="63"/>
      <c r="R40" s="64"/>
      <c r="S40" s="65"/>
      <c r="T40" s="66"/>
      <c r="U40" s="67"/>
    </row>
    <row r="41" spans="2:21" ht="18" customHeight="1" x14ac:dyDescent="0.45">
      <c r="B41" s="68"/>
      <c r="C41" s="69"/>
      <c r="D41" s="70"/>
      <c r="E41" s="71"/>
      <c r="F41" s="71"/>
      <c r="G41" s="72"/>
      <c r="H41" s="70"/>
      <c r="I41" s="71"/>
      <c r="J41" s="72"/>
      <c r="K41" s="73"/>
      <c r="L41" s="74"/>
      <c r="M41" s="75"/>
      <c r="N41" s="73"/>
      <c r="O41" s="74"/>
      <c r="P41" s="75"/>
      <c r="Q41" s="76"/>
      <c r="R41" s="77"/>
      <c r="S41" s="78"/>
      <c r="T41" s="79"/>
      <c r="U41" s="80"/>
    </row>
    <row r="42" spans="2:21" ht="18" customHeight="1" x14ac:dyDescent="0.45">
      <c r="B42" s="98" t="s">
        <v>170</v>
      </c>
      <c r="C42" s="98"/>
      <c r="D42" s="38"/>
      <c r="E42" s="38"/>
      <c r="F42" s="38"/>
      <c r="G42" s="38"/>
      <c r="H42" s="38"/>
      <c r="I42" s="38"/>
      <c r="J42" s="38"/>
      <c r="K42" s="39">
        <f>SUM(K14:K28)</f>
        <v>11310000</v>
      </c>
      <c r="L42" s="39"/>
      <c r="M42" s="39"/>
      <c r="N42" s="104">
        <f>SUM(N14:N28)</f>
        <v>3958500</v>
      </c>
      <c r="O42" s="104"/>
      <c r="P42" s="104"/>
      <c r="Q42" s="105">
        <f>IF(K42=0,"",N42/K42)</f>
        <v>0.35</v>
      </c>
      <c r="R42" s="105"/>
      <c r="S42" s="106"/>
      <c r="T42" s="106"/>
      <c r="U42" s="106"/>
    </row>
  </sheetData>
  <mergeCells count="227">
    <mergeCell ref="N27:P27"/>
    <mergeCell ref="B42:C42"/>
    <mergeCell ref="K42:M42"/>
    <mergeCell ref="B28:C28"/>
    <mergeCell ref="D28:G28"/>
    <mergeCell ref="H28:J28"/>
    <mergeCell ref="K28:M28"/>
    <mergeCell ref="B27:C27"/>
    <mergeCell ref="D27:G27"/>
    <mergeCell ref="H27:J27"/>
    <mergeCell ref="K27:M27"/>
    <mergeCell ref="D42:G42"/>
    <mergeCell ref="H42:J42"/>
    <mergeCell ref="N22:P22"/>
    <mergeCell ref="Q22:R22"/>
    <mergeCell ref="S22:U22"/>
    <mergeCell ref="B26:C26"/>
    <mergeCell ref="D26:G26"/>
    <mergeCell ref="H26:J26"/>
    <mergeCell ref="K26:M26"/>
    <mergeCell ref="B25:C25"/>
    <mergeCell ref="D25:G25"/>
    <mergeCell ref="H25:J25"/>
    <mergeCell ref="K25:M25"/>
    <mergeCell ref="N26:P26"/>
    <mergeCell ref="Q26:R26"/>
    <mergeCell ref="S26:U26"/>
    <mergeCell ref="B24:C24"/>
    <mergeCell ref="K24:M24"/>
    <mergeCell ref="D24:G24"/>
    <mergeCell ref="H24:J24"/>
    <mergeCell ref="B23:C23"/>
    <mergeCell ref="D23:G23"/>
    <mergeCell ref="H23:J23"/>
    <mergeCell ref="K23:M23"/>
    <mergeCell ref="B22:C22"/>
    <mergeCell ref="D22:G22"/>
    <mergeCell ref="H22:J22"/>
    <mergeCell ref="K22:M22"/>
    <mergeCell ref="N17:P17"/>
    <mergeCell ref="Q17:R17"/>
    <mergeCell ref="S17:U17"/>
    <mergeCell ref="B21:C21"/>
    <mergeCell ref="D21:G21"/>
    <mergeCell ref="H21:J21"/>
    <mergeCell ref="K21:M21"/>
    <mergeCell ref="B20:C20"/>
    <mergeCell ref="D20:G20"/>
    <mergeCell ref="H20:J20"/>
    <mergeCell ref="K20:M20"/>
    <mergeCell ref="N21:P21"/>
    <mergeCell ref="Q21:R21"/>
    <mergeCell ref="S21:U21"/>
    <mergeCell ref="K19:M19"/>
    <mergeCell ref="B19:C19"/>
    <mergeCell ref="D19:G19"/>
    <mergeCell ref="H19:J19"/>
    <mergeCell ref="B18:C18"/>
    <mergeCell ref="D18:G18"/>
    <mergeCell ref="H18:J18"/>
    <mergeCell ref="K18:M18"/>
    <mergeCell ref="B17:C17"/>
    <mergeCell ref="D17:G17"/>
    <mergeCell ref="H17:J17"/>
    <mergeCell ref="K17:M17"/>
    <mergeCell ref="Q13:R13"/>
    <mergeCell ref="S13:U13"/>
    <mergeCell ref="N14:P14"/>
    <mergeCell ref="Q14:R14"/>
    <mergeCell ref="S14:U14"/>
    <mergeCell ref="B16:C16"/>
    <mergeCell ref="D16:G16"/>
    <mergeCell ref="H16:J16"/>
    <mergeCell ref="K16:M16"/>
    <mergeCell ref="B15:C15"/>
    <mergeCell ref="D15:G15"/>
    <mergeCell ref="H15:J15"/>
    <mergeCell ref="K15:M15"/>
    <mergeCell ref="N15:P15"/>
    <mergeCell ref="Q15:R15"/>
    <mergeCell ref="S15:U15"/>
    <mergeCell ref="N16:P16"/>
    <mergeCell ref="Q16:R16"/>
    <mergeCell ref="S16:U16"/>
    <mergeCell ref="B12:D12"/>
    <mergeCell ref="B13:C13"/>
    <mergeCell ref="D13:G13"/>
    <mergeCell ref="H13:J13"/>
    <mergeCell ref="K13:M13"/>
    <mergeCell ref="N13:P13"/>
    <mergeCell ref="B14:C14"/>
    <mergeCell ref="D14:G14"/>
    <mergeCell ref="H14:J14"/>
    <mergeCell ref="K14:M14"/>
    <mergeCell ref="B8:D8"/>
    <mergeCell ref="B9:E9"/>
    <mergeCell ref="F9:I9"/>
    <mergeCell ref="J9:M9"/>
    <mergeCell ref="N9:Q9"/>
    <mergeCell ref="R9:U9"/>
    <mergeCell ref="B10:E10"/>
    <mergeCell ref="F10:I10"/>
    <mergeCell ref="J10:M10"/>
    <mergeCell ref="N10:Q10"/>
    <mergeCell ref="R10:U10"/>
    <mergeCell ref="N18:P18"/>
    <mergeCell ref="Q18:R18"/>
    <mergeCell ref="S18:U18"/>
    <mergeCell ref="N19:P19"/>
    <mergeCell ref="Q19:R19"/>
    <mergeCell ref="S19:U19"/>
    <mergeCell ref="N20:P20"/>
    <mergeCell ref="Q20:R20"/>
    <mergeCell ref="S20:U20"/>
    <mergeCell ref="N23:P23"/>
    <mergeCell ref="Q23:R23"/>
    <mergeCell ref="S23:U23"/>
    <mergeCell ref="N24:P24"/>
    <mergeCell ref="Q24:R24"/>
    <mergeCell ref="S24:U24"/>
    <mergeCell ref="N25:P25"/>
    <mergeCell ref="Q25:R25"/>
    <mergeCell ref="S25:U25"/>
    <mergeCell ref="Q27:R27"/>
    <mergeCell ref="S27:U27"/>
    <mergeCell ref="N28:P28"/>
    <mergeCell ref="Q28:R28"/>
    <mergeCell ref="S28:U28"/>
    <mergeCell ref="N42:P42"/>
    <mergeCell ref="Q42:R42"/>
    <mergeCell ref="S42:U42"/>
    <mergeCell ref="B29:C29"/>
    <mergeCell ref="D29:G29"/>
    <mergeCell ref="H29:J29"/>
    <mergeCell ref="K29:M29"/>
    <mergeCell ref="N29:P29"/>
    <mergeCell ref="Q29:R29"/>
    <mergeCell ref="S29:U29"/>
    <mergeCell ref="B30:C30"/>
    <mergeCell ref="D30:G30"/>
    <mergeCell ref="H30:J30"/>
    <mergeCell ref="K30:M30"/>
    <mergeCell ref="N30:P30"/>
    <mergeCell ref="Q30:R30"/>
    <mergeCell ref="S30:U30"/>
    <mergeCell ref="B31:C31"/>
    <mergeCell ref="D31:G31"/>
    <mergeCell ref="H31:J31"/>
    <mergeCell ref="K31:M31"/>
    <mergeCell ref="N31:P31"/>
    <mergeCell ref="Q31:R31"/>
    <mergeCell ref="S31:U31"/>
    <mergeCell ref="B32:C32"/>
    <mergeCell ref="D32:G32"/>
    <mergeCell ref="H32:J32"/>
    <mergeCell ref="K32:M32"/>
    <mergeCell ref="N32:P32"/>
    <mergeCell ref="Q32:R32"/>
    <mergeCell ref="S32:U32"/>
    <mergeCell ref="B33:C33"/>
    <mergeCell ref="D33:G33"/>
    <mergeCell ref="H33:J33"/>
    <mergeCell ref="K33:M33"/>
    <mergeCell ref="N33:P33"/>
    <mergeCell ref="Q33:R33"/>
    <mergeCell ref="S33:U33"/>
    <mergeCell ref="B34:C34"/>
    <mergeCell ref="D34:G34"/>
    <mergeCell ref="H34:J34"/>
    <mergeCell ref="K34:M34"/>
    <mergeCell ref="N34:P34"/>
    <mergeCell ref="Q34:R34"/>
    <mergeCell ref="S34:U34"/>
    <mergeCell ref="B35:C35"/>
    <mergeCell ref="D35:G35"/>
    <mergeCell ref="H35:J35"/>
    <mergeCell ref="K35:M35"/>
    <mergeCell ref="N35:P35"/>
    <mergeCell ref="Q35:R35"/>
    <mergeCell ref="S35:U35"/>
    <mergeCell ref="B36:C36"/>
    <mergeCell ref="D36:G36"/>
    <mergeCell ref="H36:J36"/>
    <mergeCell ref="K36:M36"/>
    <mergeCell ref="N36:P36"/>
    <mergeCell ref="Q36:R36"/>
    <mergeCell ref="S36:U36"/>
    <mergeCell ref="Q40:R40"/>
    <mergeCell ref="S40:U40"/>
    <mergeCell ref="B37:C37"/>
    <mergeCell ref="D37:G37"/>
    <mergeCell ref="H37:J37"/>
    <mergeCell ref="K37:M37"/>
    <mergeCell ref="N37:P37"/>
    <mergeCell ref="Q37:R37"/>
    <mergeCell ref="S37:U37"/>
    <mergeCell ref="B38:C38"/>
    <mergeCell ref="D38:G38"/>
    <mergeCell ref="H38:J38"/>
    <mergeCell ref="K38:M38"/>
    <mergeCell ref="N38:P38"/>
    <mergeCell ref="Q38:R38"/>
    <mergeCell ref="S38:U38"/>
    <mergeCell ref="B41:C41"/>
    <mergeCell ref="D41:G41"/>
    <mergeCell ref="H41:J41"/>
    <mergeCell ref="K41:M41"/>
    <mergeCell ref="N41:P41"/>
    <mergeCell ref="Q41:R41"/>
    <mergeCell ref="S41:U41"/>
    <mergeCell ref="B1:U1"/>
    <mergeCell ref="B2:U3"/>
    <mergeCell ref="B4:U4"/>
    <mergeCell ref="E5:Q5"/>
    <mergeCell ref="B6:U6"/>
    <mergeCell ref="B39:C39"/>
    <mergeCell ref="D39:G39"/>
    <mergeCell ref="H39:J39"/>
    <mergeCell ref="K39:M39"/>
    <mergeCell ref="N39:P39"/>
    <mergeCell ref="Q39:R39"/>
    <mergeCell ref="S39:U39"/>
    <mergeCell ref="B40:C40"/>
    <mergeCell ref="D40:G40"/>
    <mergeCell ref="H40:J40"/>
    <mergeCell ref="K40:M40"/>
    <mergeCell ref="N40:P40"/>
  </mergeCells>
  <phoneticPr fontId="3"/>
  <pageMargins left="0.7" right="0.7" top="0.75" bottom="0.75" header="0.3" footer="0.3"/>
  <pageSetup paperSize="9" scale="88" fitToHeight="0" orientation="portrait" r:id="rId1"/>
</worksheet>
</file>

<file path=docMetadata/LabelInfo.xml><?xml version="1.0" encoding="utf-8"?>
<clbl:labelList xmlns:clbl="http://schemas.microsoft.com/office/2020/mipLabelMetadata">
  <clbl:label id="{ea1a241c-ebd3-42ef-b0a7-30f545b2b503}" enabled="1" method="Privileged" siteId="{0da37956-1e3f-43d3-a431-d53393d260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売上報告書</vt:lpstr>
      <vt:lpstr>営業第一部</vt:lpstr>
      <vt:lpstr>営業第二部</vt:lpstr>
      <vt:lpstr>営業第三部</vt:lpstr>
      <vt:lpstr>法人営業部</vt:lpstr>
      <vt:lpstr>海外事業部</vt:lpstr>
      <vt:lpstr>EC事業部</vt:lpstr>
      <vt:lpstr>売上報告書!Print_Area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Masataka Yonei</dc:creator>
  <cp:lastModifiedBy>Masataka Yonei</cp:lastModifiedBy>
  <cp:lastPrinted>2026-07-27T04:58:48Z</cp:lastPrinted>
  <dcterms:created xsi:type="dcterms:W3CDTF">2026-07-27T00:36:41Z</dcterms:created>
  <dcterms:modified xsi:type="dcterms:W3CDTF">2026-08-03T01:41:20Z</dcterms:modified>
</cp:coreProperties>
</file>